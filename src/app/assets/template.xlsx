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codeName="ThisWorkbook" defaultThemeVersion="166925"/>
  <mc:AlternateContent xmlns:mc="http://schemas.openxmlformats.org/markup-compatibility/2006">
    <mc:Choice Requires="x15">
      <x15ac:absPath xmlns:x15ac="http://schemas.microsoft.com/office/spreadsheetml/2010/11/ac" url="/Users/april.v/Desktop/"/>
    </mc:Choice>
  </mc:AlternateContent>
  <xr:revisionPtr revIDLastSave="0" documentId="8_{8C144F85-28DE-6B45-A9A2-D76373386896}" xr6:coauthVersionLast="47" xr6:coauthVersionMax="47" xr10:uidLastSave="{00000000-0000-0000-0000-000000000000}"/>
  <bookViews>
    <workbookView xWindow="0" yWindow="0" windowWidth="28800" windowHeight="18000" xr2:uid="{00000000-000D-0000-FFFF-FFFF00000000}"/>
  </bookViews>
  <sheets>
    <sheet name="Cycle Calendar" sheetId="1" r:id="rId1"/>
    <sheet name="Holidays" sheetId="2" r:id="rId2"/>
    <sheet name="Settings" sheetId="3" r:id="rId3"/>
  </sheets>
  <definedNames>
    <definedName name="_xlnm._FilterDatabase" localSheetId="0" hidden="1">'Cycle Calendar'!$A$2:$F$2</definedName>
    <definedName name="Calendar_Type">Settings!$B$3</definedName>
    <definedName name="Cycle_Header">Settings!$B$7</definedName>
    <definedName name="Days_per_Cycle">Settings!$B$4</definedName>
    <definedName name="End_Date_of_Year">Settings!$B$6</definedName>
    <definedName name="Number_Of_Weekends">Settings!$B$9</definedName>
    <definedName name="Start_Date_of_Year">Settings!$B$5</definedName>
    <definedName name="Weekend_As_Holiday">Settings!$B$8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38" i="1" l="1"/>
  <c r="E39" i="1"/>
  <c r="E40" i="1"/>
  <c r="E41" i="1"/>
  <c r="E42" i="1"/>
  <c r="B37" i="1"/>
  <c r="B9" i="3"/>
  <c r="H22" i="1"/>
  <c r="H21" i="1"/>
  <c r="B37" i="2"/>
  <c r="B36" i="2"/>
  <c r="B35" i="2"/>
  <c r="B34" i="2"/>
  <c r="B33" i="2"/>
  <c r="B32" i="2"/>
  <c r="B31" i="2"/>
  <c r="B30" i="2"/>
  <c r="B29" i="2"/>
  <c r="B28" i="2"/>
  <c r="B27" i="2"/>
  <c r="B26" i="2"/>
  <c r="B25" i="2"/>
  <c r="B24" i="2"/>
  <c r="B23" i="2"/>
  <c r="B22" i="2"/>
  <c r="B21" i="2"/>
  <c r="B20" i="2"/>
  <c r="B19" i="2"/>
  <c r="B18" i="2"/>
  <c r="B17" i="2"/>
  <c r="B16" i="2"/>
  <c r="B15" i="2"/>
  <c r="B14" i="2"/>
  <c r="D6" i="1"/>
  <c r="J9" i="1" s="1"/>
  <c r="B13" i="2"/>
  <c r="B12" i="2"/>
  <c r="B11" i="2"/>
  <c r="B10" i="2"/>
  <c r="B9" i="2"/>
  <c r="B8" i="2"/>
  <c r="B7" i="2"/>
  <c r="B6" i="2"/>
  <c r="B38" i="2"/>
  <c r="B57" i="2"/>
  <c r="B56" i="2"/>
  <c r="B55" i="2"/>
  <c r="B54" i="2"/>
  <c r="B53" i="2"/>
  <c r="B52" i="2"/>
  <c r="B51" i="2"/>
  <c r="B50" i="2"/>
  <c r="B49" i="2"/>
  <c r="B48" i="2"/>
  <c r="B47" i="2"/>
  <c r="B46" i="2"/>
  <c r="B45" i="2"/>
  <c r="B44" i="2"/>
  <c r="B43" i="2"/>
  <c r="B42" i="2"/>
  <c r="B41" i="2"/>
  <c r="B40" i="2"/>
  <c r="B39" i="2"/>
  <c r="A6" i="1" l="1"/>
  <c r="D7" i="1"/>
  <c r="A7" i="1" s="1"/>
  <c r="F1" i="1"/>
  <c r="B58" i="2" l="1"/>
  <c r="C6" i="1"/>
  <c r="E6" i="1" l="1"/>
  <c r="F6" i="1" s="1"/>
  <c r="B6" i="1" l="1"/>
  <c r="B7" i="1" s="1"/>
  <c r="C7" i="1"/>
  <c r="D8" i="1"/>
  <c r="C8" i="1" l="1"/>
  <c r="A8" i="1"/>
  <c r="E7" i="1"/>
  <c r="F7" i="1" s="1"/>
  <c r="E8" i="1"/>
  <c r="F8" i="1" s="1"/>
  <c r="D9" i="1"/>
  <c r="A9" i="1" s="1"/>
  <c r="B8" i="1" l="1"/>
  <c r="B9" i="1" s="1"/>
  <c r="D10" i="1"/>
  <c r="C9" i="1"/>
  <c r="C10" i="1" l="1"/>
  <c r="A10" i="1"/>
  <c r="E9" i="1"/>
  <c r="F9" i="1" s="1"/>
  <c r="E10" i="1"/>
  <c r="F10" i="1" s="1"/>
  <c r="D11" i="1"/>
  <c r="A11" i="1" s="1"/>
  <c r="B10" i="1" l="1"/>
  <c r="B11" i="1" s="1"/>
  <c r="D12" i="1"/>
  <c r="A12" i="1" s="1"/>
  <c r="C11" i="1"/>
  <c r="E11" i="1" l="1"/>
  <c r="F11" i="1" s="1"/>
  <c r="D13" i="1"/>
  <c r="C12" i="1"/>
  <c r="E12" i="1" s="1"/>
  <c r="B12" i="1"/>
  <c r="A13" i="1" l="1"/>
  <c r="C13" i="1"/>
  <c r="F12" i="1"/>
  <c r="D14" i="1"/>
  <c r="C14" i="1" l="1"/>
  <c r="A14" i="1"/>
  <c r="E14" i="1"/>
  <c r="F14" i="1" s="1"/>
  <c r="E13" i="1"/>
  <c r="F13" i="1" s="1"/>
  <c r="B13" i="1"/>
  <c r="D15" i="1"/>
  <c r="D16" i="1" l="1"/>
  <c r="A16" i="1" s="1"/>
  <c r="A15" i="1"/>
  <c r="B14" i="1"/>
  <c r="C15" i="1"/>
  <c r="C16" i="1"/>
  <c r="D17" i="1"/>
  <c r="D18" i="1" l="1"/>
  <c r="A17" i="1"/>
  <c r="E15" i="1"/>
  <c r="F15" i="1" s="1"/>
  <c r="E16" i="1"/>
  <c r="F16" i="1" s="1"/>
  <c r="B15" i="1"/>
  <c r="B16" i="1" s="1"/>
  <c r="C17" i="1"/>
  <c r="C18" i="1" l="1"/>
  <c r="E18" i="1" s="1"/>
  <c r="F18" i="1" s="1"/>
  <c r="A18" i="1"/>
  <c r="E17" i="1"/>
  <c r="F17" i="1" s="1"/>
  <c r="B17" i="1"/>
  <c r="D19" i="1"/>
  <c r="A19" i="1" s="1"/>
  <c r="B18" i="1" l="1"/>
  <c r="D20" i="1"/>
  <c r="A20" i="1" s="1"/>
  <c r="C19" i="1"/>
  <c r="B19" i="1" l="1"/>
  <c r="E19" i="1"/>
  <c r="F19" i="1" s="1"/>
  <c r="C20" i="1"/>
  <c r="D21" i="1"/>
  <c r="A21" i="1" s="1"/>
  <c r="B20" i="1" l="1"/>
  <c r="B21" i="1" s="1"/>
  <c r="E20" i="1"/>
  <c r="F20" i="1" s="1"/>
  <c r="D22" i="1"/>
  <c r="A22" i="1" s="1"/>
  <c r="C21" i="1"/>
  <c r="E21" i="1" l="1"/>
  <c r="F21" i="1" s="1"/>
  <c r="C22" i="1"/>
  <c r="B22" i="1"/>
  <c r="D23" i="1"/>
  <c r="A23" i="1" s="1"/>
  <c r="E22" i="1" l="1"/>
  <c r="F22" i="1" s="1"/>
  <c r="B23" i="1"/>
  <c r="C23" i="1"/>
  <c r="D24" i="1"/>
  <c r="A24" i="1" s="1"/>
  <c r="E23" i="1" l="1"/>
  <c r="F23" i="1" s="1"/>
  <c r="C24" i="1"/>
  <c r="B24" i="1"/>
  <c r="D25" i="1"/>
  <c r="A25" i="1" s="1"/>
  <c r="E24" i="1" l="1"/>
  <c r="F24" i="1" s="1"/>
  <c r="B25" i="1"/>
  <c r="C25" i="1"/>
  <c r="D26" i="1"/>
  <c r="A26" i="1" s="1"/>
  <c r="E25" i="1" l="1"/>
  <c r="F25" i="1" s="1"/>
  <c r="C26" i="1"/>
  <c r="B26" i="1"/>
  <c r="D27" i="1"/>
  <c r="A27" i="1" s="1"/>
  <c r="E26" i="1" l="1"/>
  <c r="F26" i="1" s="1"/>
  <c r="B27" i="1"/>
  <c r="D28" i="1"/>
  <c r="A28" i="1" s="1"/>
  <c r="C27" i="1"/>
  <c r="E27" i="1" l="1"/>
  <c r="F27" i="1" s="1"/>
  <c r="C28" i="1"/>
  <c r="D29" i="1"/>
  <c r="A29" i="1" s="1"/>
  <c r="B28" i="1"/>
  <c r="E28" i="1" l="1"/>
  <c r="F28" i="1" s="1"/>
  <c r="B29" i="1"/>
  <c r="C29" i="1"/>
  <c r="D30" i="1"/>
  <c r="A30" i="1" s="1"/>
  <c r="E29" i="1" l="1"/>
  <c r="F29" i="1" s="1"/>
  <c r="C30" i="1"/>
  <c r="D31" i="1"/>
  <c r="A31" i="1" s="1"/>
  <c r="B30" i="1"/>
  <c r="E30" i="1" l="1"/>
  <c r="F30" i="1" s="1"/>
  <c r="B31" i="1"/>
  <c r="D32" i="1"/>
  <c r="A32" i="1" s="1"/>
  <c r="C31" i="1"/>
  <c r="E31" i="1" l="1"/>
  <c r="F31" i="1" s="1"/>
  <c r="C32" i="1"/>
  <c r="D33" i="1"/>
  <c r="A33" i="1" s="1"/>
  <c r="B32" i="1"/>
  <c r="E32" i="1" l="1"/>
  <c r="F32" i="1" s="1"/>
  <c r="D34" i="1"/>
  <c r="A34" i="1" s="1"/>
  <c r="B33" i="1"/>
  <c r="C33" i="1"/>
  <c r="E33" i="1" l="1"/>
  <c r="F33" i="1" s="1"/>
  <c r="C34" i="1"/>
  <c r="B34" i="1"/>
  <c r="D35" i="1"/>
  <c r="A35" i="1" s="1"/>
  <c r="E34" i="1" l="1"/>
  <c r="F34" i="1" s="1"/>
  <c r="D36" i="1"/>
  <c r="B35" i="1"/>
  <c r="C35" i="1"/>
  <c r="D37" i="1" l="1"/>
  <c r="A36" i="1"/>
  <c r="B36" i="1" s="1"/>
  <c r="E35" i="1"/>
  <c r="F35" i="1" s="1"/>
  <c r="C36" i="1"/>
  <c r="E36" i="1" l="1"/>
  <c r="F36" i="1" s="1"/>
  <c r="D38" i="1"/>
  <c r="A38" i="1" s="1"/>
  <c r="C37" i="1"/>
  <c r="E37" i="1" l="1"/>
  <c r="F37" i="1" s="1"/>
  <c r="D39" i="1"/>
  <c r="A39" i="1" s="1"/>
  <c r="B38" i="1"/>
  <c r="C38" i="1"/>
  <c r="F38" i="1" l="1"/>
  <c r="D40" i="1"/>
  <c r="A40" i="1" s="1"/>
  <c r="B39" i="1"/>
  <c r="C39" i="1"/>
  <c r="F39" i="1" l="1"/>
  <c r="D41" i="1"/>
  <c r="A41" i="1" s="1"/>
  <c r="C40" i="1"/>
  <c r="B40" i="1"/>
  <c r="F40" i="1" l="1"/>
  <c r="D42" i="1"/>
  <c r="A42" i="1" s="1"/>
  <c r="C41" i="1"/>
  <c r="B41" i="1"/>
  <c r="F41" i="1" l="1"/>
  <c r="D43" i="1"/>
  <c r="A43" i="1" s="1"/>
  <c r="B42" i="1"/>
  <c r="C42" i="1"/>
  <c r="F42" i="1" l="1"/>
  <c r="C43" i="1"/>
  <c r="D44" i="1"/>
  <c r="A44" i="1" s="1"/>
  <c r="B43" i="1"/>
  <c r="E43" i="1" l="1"/>
  <c r="F43" i="1" s="1"/>
  <c r="C44" i="1"/>
  <c r="B44" i="1"/>
  <c r="D45" i="1"/>
  <c r="A45" i="1" s="1"/>
  <c r="E44" i="1" l="1"/>
  <c r="F44" i="1" s="1"/>
  <c r="D46" i="1"/>
  <c r="A46" i="1" s="1"/>
  <c r="B45" i="1"/>
  <c r="C45" i="1"/>
  <c r="E45" i="1" l="1"/>
  <c r="F45" i="1" s="1"/>
  <c r="C46" i="1"/>
  <c r="B46" i="1"/>
  <c r="D47" i="1"/>
  <c r="A47" i="1" s="1"/>
  <c r="E46" i="1" l="1"/>
  <c r="F46" i="1" s="1"/>
  <c r="C47" i="1"/>
  <c r="D48" i="1"/>
  <c r="A48" i="1" s="1"/>
  <c r="B47" i="1"/>
  <c r="E47" i="1" l="1"/>
  <c r="F47" i="1" s="1"/>
  <c r="D49" i="1"/>
  <c r="A49" i="1" s="1"/>
  <c r="C48" i="1"/>
  <c r="B48" i="1"/>
  <c r="E48" i="1" l="1"/>
  <c r="F48" i="1" s="1"/>
  <c r="D50" i="1"/>
  <c r="A50" i="1" s="1"/>
  <c r="C49" i="1"/>
  <c r="B49" i="1"/>
  <c r="E49" i="1" l="1"/>
  <c r="F49" i="1" s="1"/>
  <c r="C50" i="1"/>
  <c r="D51" i="1"/>
  <c r="A51" i="1" s="1"/>
  <c r="B50" i="1"/>
  <c r="E50" i="1" l="1"/>
  <c r="F50" i="1" s="1"/>
  <c r="C51" i="1"/>
  <c r="B51" i="1"/>
  <c r="D52" i="1"/>
  <c r="A52" i="1" s="1"/>
  <c r="E51" i="1" l="1"/>
  <c r="F51" i="1" s="1"/>
  <c r="D53" i="1"/>
  <c r="A53" i="1" s="1"/>
  <c r="B52" i="1"/>
  <c r="C52" i="1"/>
  <c r="E52" i="1" l="1"/>
  <c r="F52" i="1" s="1"/>
  <c r="D54" i="1"/>
  <c r="A54" i="1" s="1"/>
  <c r="C53" i="1"/>
  <c r="B53" i="1"/>
  <c r="E53" i="1" l="1"/>
  <c r="F53" i="1" s="1"/>
  <c r="B54" i="1"/>
  <c r="C54" i="1"/>
  <c r="D55" i="1"/>
  <c r="A55" i="1" s="1"/>
  <c r="E54" i="1" l="1"/>
  <c r="F54" i="1" s="1"/>
  <c r="C55" i="1"/>
  <c r="B55" i="1"/>
  <c r="D56" i="1"/>
  <c r="A56" i="1" s="1"/>
  <c r="E55" i="1" l="1"/>
  <c r="F55" i="1" s="1"/>
  <c r="C56" i="1"/>
  <c r="D57" i="1"/>
  <c r="A57" i="1" s="1"/>
  <c r="B56" i="1"/>
  <c r="E56" i="1" l="1"/>
  <c r="F56" i="1" s="1"/>
  <c r="D58" i="1"/>
  <c r="A58" i="1" s="1"/>
  <c r="B57" i="1"/>
  <c r="C57" i="1"/>
  <c r="E57" i="1" l="1"/>
  <c r="F57" i="1" s="1"/>
  <c r="B58" i="1"/>
  <c r="C58" i="1"/>
  <c r="D59" i="1"/>
  <c r="A59" i="1" s="1"/>
  <c r="E58" i="1" l="1"/>
  <c r="F58" i="1" s="1"/>
  <c r="C59" i="1"/>
  <c r="B59" i="1"/>
  <c r="D60" i="1"/>
  <c r="A60" i="1" s="1"/>
  <c r="E59" i="1" l="1"/>
  <c r="F59" i="1" s="1"/>
  <c r="C60" i="1"/>
  <c r="D61" i="1"/>
  <c r="A61" i="1" s="1"/>
  <c r="B60" i="1"/>
  <c r="E60" i="1" l="1"/>
  <c r="F60" i="1" s="1"/>
  <c r="D62" i="1"/>
  <c r="A62" i="1" s="1"/>
  <c r="C61" i="1"/>
  <c r="B61" i="1"/>
  <c r="E61" i="1" l="1"/>
  <c r="F61" i="1" s="1"/>
  <c r="B62" i="1"/>
  <c r="C62" i="1"/>
  <c r="D63" i="1"/>
  <c r="D64" i="1" l="1"/>
  <c r="A63" i="1"/>
  <c r="E62" i="1"/>
  <c r="F62" i="1" s="1"/>
  <c r="C63" i="1"/>
  <c r="B63" i="1"/>
  <c r="D65" i="1" l="1"/>
  <c r="A64" i="1"/>
  <c r="B64" i="1" s="1"/>
  <c r="E63" i="1"/>
  <c r="F63" i="1" s="1"/>
  <c r="C64" i="1"/>
  <c r="E64" i="1" l="1"/>
  <c r="F64" i="1" s="1"/>
  <c r="D66" i="1"/>
  <c r="B65" i="1"/>
  <c r="C65" i="1"/>
  <c r="E65" i="1" l="1"/>
  <c r="F65" i="1" s="1"/>
  <c r="B66" i="1"/>
  <c r="D67" i="1"/>
  <c r="C66" i="1"/>
  <c r="E66" i="1" l="1"/>
  <c r="F66" i="1" s="1"/>
  <c r="C67" i="1"/>
  <c r="D68" i="1"/>
  <c r="B67" i="1"/>
  <c r="E67" i="1" l="1"/>
  <c r="F67" i="1" s="1"/>
  <c r="B68" i="1"/>
  <c r="D69" i="1"/>
  <c r="C68" i="1"/>
  <c r="E68" i="1" l="1"/>
  <c r="F68" i="1" s="1"/>
  <c r="D70" i="1"/>
  <c r="C69" i="1"/>
  <c r="B69" i="1"/>
  <c r="E69" i="1" l="1"/>
  <c r="F69" i="1" s="1"/>
  <c r="B70" i="1"/>
  <c r="D71" i="1"/>
  <c r="C70" i="1"/>
  <c r="E70" i="1" l="1"/>
  <c r="F70" i="1" s="1"/>
  <c r="C71" i="1"/>
  <c r="B71" i="1"/>
  <c r="D72" i="1"/>
  <c r="E71" i="1" l="1"/>
  <c r="F71" i="1" s="1"/>
  <c r="B72" i="1"/>
  <c r="D73" i="1"/>
  <c r="A73" i="1" s="1"/>
  <c r="C72" i="1"/>
  <c r="E72" i="1" l="1"/>
  <c r="F72" i="1" s="1"/>
  <c r="D74" i="1"/>
  <c r="A74" i="1" s="1"/>
  <c r="C73" i="1"/>
  <c r="B73" i="1"/>
  <c r="E73" i="1" l="1"/>
  <c r="F73" i="1" s="1"/>
  <c r="B74" i="1"/>
  <c r="C74" i="1"/>
  <c r="D75" i="1"/>
  <c r="A75" i="1" s="1"/>
  <c r="E74" i="1" l="1"/>
  <c r="F74" i="1" s="1"/>
  <c r="C75" i="1"/>
  <c r="B75" i="1"/>
  <c r="D76" i="1"/>
  <c r="A76" i="1" s="1"/>
  <c r="E75" i="1" l="1"/>
  <c r="F75" i="1" s="1"/>
  <c r="C76" i="1"/>
  <c r="D77" i="1"/>
  <c r="A77" i="1" s="1"/>
  <c r="B76" i="1"/>
  <c r="E76" i="1" l="1"/>
  <c r="F76" i="1" s="1"/>
  <c r="D78" i="1"/>
  <c r="A78" i="1" s="1"/>
  <c r="C77" i="1"/>
  <c r="B77" i="1"/>
  <c r="E77" i="1" l="1"/>
  <c r="F77" i="1" s="1"/>
  <c r="B78" i="1"/>
  <c r="C78" i="1"/>
  <c r="D79" i="1"/>
  <c r="A79" i="1" s="1"/>
  <c r="E78" i="1" l="1"/>
  <c r="F78" i="1" s="1"/>
  <c r="C79" i="1"/>
  <c r="D80" i="1"/>
  <c r="A80" i="1" s="1"/>
  <c r="B79" i="1"/>
  <c r="E79" i="1" l="1"/>
  <c r="F79" i="1" s="1"/>
  <c r="C80" i="1"/>
  <c r="B80" i="1"/>
  <c r="D81" i="1"/>
  <c r="A81" i="1" s="1"/>
  <c r="E80" i="1" l="1"/>
  <c r="F80" i="1" s="1"/>
  <c r="D82" i="1"/>
  <c r="A82" i="1" s="1"/>
  <c r="B81" i="1"/>
  <c r="C81" i="1"/>
  <c r="E81" i="1" l="1"/>
  <c r="F81" i="1" s="1"/>
  <c r="B82" i="1"/>
  <c r="D83" i="1"/>
  <c r="A83" i="1" s="1"/>
  <c r="C82" i="1"/>
  <c r="E82" i="1" l="1"/>
  <c r="F82" i="1" s="1"/>
  <c r="C83" i="1"/>
  <c r="D84" i="1"/>
  <c r="A84" i="1" s="1"/>
  <c r="B83" i="1"/>
  <c r="E83" i="1" l="1"/>
  <c r="F83" i="1" s="1"/>
  <c r="B84" i="1"/>
  <c r="D85" i="1"/>
  <c r="A85" i="1" s="1"/>
  <c r="C84" i="1"/>
  <c r="E84" i="1" l="1"/>
  <c r="F84" i="1" s="1"/>
  <c r="D86" i="1"/>
  <c r="A86" i="1" s="1"/>
  <c r="C85" i="1"/>
  <c r="B85" i="1"/>
  <c r="E85" i="1" l="1"/>
  <c r="F85" i="1" s="1"/>
  <c r="B86" i="1"/>
  <c r="D87" i="1"/>
  <c r="A87" i="1" s="1"/>
  <c r="C86" i="1"/>
  <c r="E86" i="1" l="1"/>
  <c r="F86" i="1" s="1"/>
  <c r="C87" i="1"/>
  <c r="B87" i="1"/>
  <c r="D88" i="1"/>
  <c r="A88" i="1" s="1"/>
  <c r="E87" i="1" l="1"/>
  <c r="F87" i="1" s="1"/>
  <c r="D89" i="1"/>
  <c r="A89" i="1" s="1"/>
  <c r="C88" i="1"/>
  <c r="B88" i="1"/>
  <c r="E88" i="1" l="1"/>
  <c r="F88" i="1" s="1"/>
  <c r="D90" i="1"/>
  <c r="A90" i="1" s="1"/>
  <c r="B89" i="1"/>
  <c r="C89" i="1"/>
  <c r="E89" i="1" l="1"/>
  <c r="F89" i="1" s="1"/>
  <c r="B90" i="1"/>
  <c r="D91" i="1"/>
  <c r="A91" i="1" s="1"/>
  <c r="C90" i="1"/>
  <c r="E90" i="1" l="1"/>
  <c r="F90" i="1" s="1"/>
  <c r="C91" i="1"/>
  <c r="D92" i="1"/>
  <c r="A92" i="1" s="1"/>
  <c r="B91" i="1"/>
  <c r="E91" i="1" l="1"/>
  <c r="F91" i="1" s="1"/>
  <c r="D93" i="1"/>
  <c r="A93" i="1" s="1"/>
  <c r="C92" i="1"/>
  <c r="B92" i="1"/>
  <c r="E92" i="1" l="1"/>
  <c r="F92" i="1" s="1"/>
  <c r="D94" i="1"/>
  <c r="A94" i="1" s="1"/>
  <c r="C93" i="1"/>
  <c r="B93" i="1"/>
  <c r="E93" i="1" l="1"/>
  <c r="F93" i="1" s="1"/>
  <c r="B94" i="1"/>
  <c r="C94" i="1"/>
  <c r="D95" i="1"/>
  <c r="A95" i="1" s="1"/>
  <c r="E94" i="1" l="1"/>
  <c r="F94" i="1" s="1"/>
  <c r="C95" i="1"/>
  <c r="D96" i="1"/>
  <c r="B95" i="1"/>
  <c r="E95" i="1" l="1"/>
  <c r="F95" i="1" s="1"/>
  <c r="C96" i="1"/>
  <c r="B96" i="1"/>
  <c r="D97" i="1"/>
  <c r="E96" i="1" l="1"/>
  <c r="F96" i="1" s="1"/>
  <c r="D98" i="1"/>
  <c r="B97" i="1"/>
  <c r="C97" i="1"/>
  <c r="E97" i="1" l="1"/>
  <c r="F97" i="1" s="1"/>
  <c r="B98" i="1"/>
  <c r="C98" i="1"/>
  <c r="D99" i="1"/>
  <c r="E98" i="1" l="1"/>
  <c r="F98" i="1" s="1"/>
  <c r="C99" i="1"/>
  <c r="D100" i="1"/>
  <c r="B99" i="1"/>
  <c r="E99" i="1" l="1"/>
  <c r="F99" i="1" s="1"/>
  <c r="D101" i="1"/>
  <c r="C100" i="1"/>
  <c r="B100" i="1"/>
  <c r="E100" i="1" l="1"/>
  <c r="F100" i="1" s="1"/>
  <c r="D102" i="1"/>
  <c r="B101" i="1"/>
  <c r="C101" i="1"/>
  <c r="E101" i="1" l="1"/>
  <c r="F101" i="1" s="1"/>
  <c r="B102" i="1"/>
  <c r="C102" i="1"/>
  <c r="D103" i="1"/>
  <c r="E102" i="1" l="1"/>
  <c r="F102" i="1" s="1"/>
  <c r="C103" i="1"/>
  <c r="B103" i="1"/>
  <c r="D104" i="1"/>
  <c r="E103" i="1" l="1"/>
  <c r="F103" i="1" s="1"/>
  <c r="B104" i="1"/>
  <c r="D105" i="1"/>
  <c r="C104" i="1"/>
  <c r="E104" i="1" l="1"/>
  <c r="F104" i="1" s="1"/>
  <c r="D106" i="1"/>
  <c r="B105" i="1"/>
  <c r="C105" i="1"/>
  <c r="E105" i="1" l="1"/>
  <c r="F105" i="1" s="1"/>
  <c r="B106" i="1"/>
  <c r="C106" i="1"/>
  <c r="D107" i="1"/>
  <c r="E106" i="1" l="1"/>
  <c r="F106" i="1" s="1"/>
  <c r="C107" i="1"/>
  <c r="D108" i="1"/>
  <c r="A108" i="1" s="1"/>
  <c r="B107" i="1"/>
  <c r="E107" i="1" l="1"/>
  <c r="F107" i="1" s="1"/>
  <c r="D109" i="1"/>
  <c r="A109" i="1" s="1"/>
  <c r="B108" i="1"/>
  <c r="C108" i="1"/>
  <c r="E108" i="1" l="1"/>
  <c r="F108" i="1" s="1"/>
  <c r="D110" i="1"/>
  <c r="A110" i="1" s="1"/>
  <c r="B109" i="1"/>
  <c r="C109" i="1"/>
  <c r="E109" i="1" l="1"/>
  <c r="F109" i="1" s="1"/>
  <c r="B110" i="1"/>
  <c r="C110" i="1"/>
  <c r="D111" i="1"/>
  <c r="A111" i="1" s="1"/>
  <c r="E110" i="1" l="1"/>
  <c r="F110" i="1" s="1"/>
  <c r="C111" i="1"/>
  <c r="D112" i="1"/>
  <c r="A112" i="1" s="1"/>
  <c r="B111" i="1"/>
  <c r="E111" i="1" l="1"/>
  <c r="F111" i="1" s="1"/>
  <c r="D113" i="1"/>
  <c r="A113" i="1" s="1"/>
  <c r="C112" i="1"/>
  <c r="B112" i="1"/>
  <c r="E112" i="1" l="1"/>
  <c r="F112" i="1" s="1"/>
  <c r="D114" i="1"/>
  <c r="A114" i="1" s="1"/>
  <c r="B113" i="1"/>
  <c r="C113" i="1"/>
  <c r="E113" i="1" l="1"/>
  <c r="F113" i="1" s="1"/>
  <c r="B114" i="1"/>
  <c r="C114" i="1"/>
  <c r="D115" i="1"/>
  <c r="A115" i="1" s="1"/>
  <c r="E114" i="1" l="1"/>
  <c r="F114" i="1" s="1"/>
  <c r="C115" i="1"/>
  <c r="D116" i="1"/>
  <c r="A116" i="1" s="1"/>
  <c r="B115" i="1"/>
  <c r="E115" i="1" l="1"/>
  <c r="F115" i="1" s="1"/>
  <c r="D117" i="1"/>
  <c r="A117" i="1" s="1"/>
  <c r="B116" i="1"/>
  <c r="C116" i="1"/>
  <c r="E116" i="1" l="1"/>
  <c r="F116" i="1" s="1"/>
  <c r="D118" i="1"/>
  <c r="A118" i="1" s="1"/>
  <c r="C117" i="1"/>
  <c r="B117" i="1"/>
  <c r="E117" i="1" l="1"/>
  <c r="F117" i="1" s="1"/>
  <c r="B118" i="1"/>
  <c r="C118" i="1"/>
  <c r="D119" i="1"/>
  <c r="A119" i="1" s="1"/>
  <c r="E118" i="1" l="1"/>
  <c r="F118" i="1" s="1"/>
  <c r="C119" i="1"/>
  <c r="B119" i="1"/>
  <c r="D120" i="1"/>
  <c r="A120" i="1" s="1"/>
  <c r="E119" i="1" l="1"/>
  <c r="F119" i="1" s="1"/>
  <c r="B120" i="1"/>
  <c r="D121" i="1"/>
  <c r="A121" i="1" s="1"/>
  <c r="C120" i="1"/>
  <c r="E120" i="1" l="1"/>
  <c r="F120" i="1" s="1"/>
  <c r="D122" i="1"/>
  <c r="A122" i="1" s="1"/>
  <c r="B121" i="1"/>
  <c r="C121" i="1"/>
  <c r="E121" i="1" l="1"/>
  <c r="F121" i="1" s="1"/>
  <c r="B122" i="1"/>
  <c r="C122" i="1"/>
  <c r="D123" i="1"/>
  <c r="A123" i="1" s="1"/>
  <c r="E122" i="1" l="1"/>
  <c r="F122" i="1" s="1"/>
  <c r="C123" i="1"/>
  <c r="D124" i="1"/>
  <c r="A124" i="1" s="1"/>
  <c r="B123" i="1"/>
  <c r="E123" i="1" l="1"/>
  <c r="F123" i="1" s="1"/>
  <c r="D125" i="1"/>
  <c r="A125" i="1" s="1"/>
  <c r="C124" i="1"/>
  <c r="B124" i="1"/>
  <c r="E124" i="1" l="1"/>
  <c r="F124" i="1" s="1"/>
  <c r="D126" i="1"/>
  <c r="C125" i="1"/>
  <c r="B125" i="1"/>
  <c r="E125" i="1" l="1"/>
  <c r="F125" i="1" s="1"/>
  <c r="B126" i="1"/>
  <c r="C126" i="1"/>
  <c r="D127" i="1"/>
  <c r="E126" i="1" l="1"/>
  <c r="F126" i="1" s="1"/>
  <c r="C127" i="1"/>
  <c r="B127" i="1"/>
  <c r="D128" i="1"/>
  <c r="E127" i="1" l="1"/>
  <c r="F127" i="1" s="1"/>
  <c r="D129" i="1"/>
  <c r="B128" i="1"/>
  <c r="C128" i="1"/>
  <c r="E128" i="1" l="1"/>
  <c r="F128" i="1" s="1"/>
  <c r="D130" i="1"/>
  <c r="B129" i="1"/>
  <c r="C129" i="1"/>
  <c r="E129" i="1" l="1"/>
  <c r="F129" i="1" s="1"/>
  <c r="B130" i="1"/>
  <c r="D131" i="1"/>
  <c r="C130" i="1"/>
  <c r="E130" i="1" l="1"/>
  <c r="F130" i="1" s="1"/>
  <c r="C131" i="1"/>
  <c r="D132" i="1"/>
  <c r="B131" i="1"/>
  <c r="E131" i="1" l="1"/>
  <c r="F131" i="1" s="1"/>
  <c r="D133" i="1"/>
  <c r="B132" i="1"/>
  <c r="C132" i="1"/>
  <c r="E132" i="1" l="1"/>
  <c r="F132" i="1" s="1"/>
  <c r="D134" i="1"/>
  <c r="C133" i="1"/>
  <c r="B133" i="1"/>
  <c r="E133" i="1" l="1"/>
  <c r="F133" i="1" s="1"/>
  <c r="B134" i="1"/>
  <c r="C134" i="1"/>
  <c r="D135" i="1"/>
  <c r="E134" i="1" l="1"/>
  <c r="F134" i="1" s="1"/>
  <c r="C135" i="1"/>
  <c r="D136" i="1"/>
  <c r="B135" i="1"/>
  <c r="E135" i="1" l="1"/>
  <c r="F135" i="1" s="1"/>
  <c r="C136" i="1"/>
  <c r="B136" i="1"/>
  <c r="D137" i="1"/>
  <c r="A137" i="1" s="1"/>
  <c r="E136" i="1" l="1"/>
  <c r="F136" i="1" s="1"/>
  <c r="D138" i="1"/>
  <c r="A138" i="1" s="1"/>
  <c r="B137" i="1"/>
  <c r="C137" i="1"/>
  <c r="E137" i="1" l="1"/>
  <c r="F137" i="1" s="1"/>
  <c r="B138" i="1"/>
  <c r="C138" i="1"/>
  <c r="D139" i="1"/>
  <c r="A139" i="1" s="1"/>
  <c r="E138" i="1" l="1"/>
  <c r="F138" i="1" s="1"/>
  <c r="C139" i="1"/>
  <c r="D140" i="1"/>
  <c r="A140" i="1" s="1"/>
  <c r="B139" i="1"/>
  <c r="E139" i="1" l="1"/>
  <c r="F139" i="1" s="1"/>
  <c r="D141" i="1"/>
  <c r="A141" i="1" s="1"/>
  <c r="C140" i="1"/>
  <c r="B140" i="1"/>
  <c r="E140" i="1" l="1"/>
  <c r="F140" i="1" s="1"/>
  <c r="D142" i="1"/>
  <c r="A142" i="1" s="1"/>
  <c r="C141" i="1"/>
  <c r="B141" i="1"/>
  <c r="E141" i="1" l="1"/>
  <c r="F141" i="1" s="1"/>
  <c r="B142" i="1"/>
  <c r="C142" i="1"/>
  <c r="D143" i="1"/>
  <c r="A143" i="1" s="1"/>
  <c r="E142" i="1" l="1"/>
  <c r="F142" i="1" s="1"/>
  <c r="C143" i="1"/>
  <c r="B143" i="1"/>
  <c r="D144" i="1"/>
  <c r="A144" i="1" s="1"/>
  <c r="E143" i="1" l="1"/>
  <c r="F143" i="1" s="1"/>
  <c r="D145" i="1"/>
  <c r="A145" i="1" s="1"/>
  <c r="C144" i="1"/>
  <c r="B144" i="1"/>
  <c r="E144" i="1" l="1"/>
  <c r="F144" i="1" s="1"/>
  <c r="D146" i="1"/>
  <c r="A146" i="1" s="1"/>
  <c r="B145" i="1"/>
  <c r="C145" i="1"/>
  <c r="E145" i="1" l="1"/>
  <c r="F145" i="1" s="1"/>
  <c r="B146" i="1"/>
  <c r="D147" i="1"/>
  <c r="A147" i="1" s="1"/>
  <c r="C146" i="1"/>
  <c r="E146" i="1" l="1"/>
  <c r="F146" i="1" s="1"/>
  <c r="C147" i="1"/>
  <c r="D148" i="1"/>
  <c r="A148" i="1" s="1"/>
  <c r="B147" i="1"/>
  <c r="E147" i="1" l="1"/>
  <c r="F147" i="1" s="1"/>
  <c r="D149" i="1"/>
  <c r="A149" i="1" s="1"/>
  <c r="C148" i="1"/>
  <c r="B148" i="1"/>
  <c r="E148" i="1" l="1"/>
  <c r="F148" i="1" s="1"/>
  <c r="D150" i="1"/>
  <c r="A150" i="1" s="1"/>
  <c r="B149" i="1"/>
  <c r="C149" i="1"/>
  <c r="E149" i="1" l="1"/>
  <c r="F149" i="1" s="1"/>
  <c r="B150" i="1"/>
  <c r="C150" i="1"/>
  <c r="D151" i="1"/>
  <c r="A151" i="1" s="1"/>
  <c r="E150" i="1" l="1"/>
  <c r="F150" i="1" s="1"/>
  <c r="C151" i="1"/>
  <c r="D152" i="1"/>
  <c r="A152" i="1" s="1"/>
  <c r="B151" i="1"/>
  <c r="E151" i="1" l="1"/>
  <c r="F151" i="1" s="1"/>
  <c r="C152" i="1"/>
  <c r="D153" i="1"/>
  <c r="A153" i="1" s="1"/>
  <c r="B152" i="1"/>
  <c r="E152" i="1" l="1"/>
  <c r="F152" i="1" s="1"/>
  <c r="D154" i="1"/>
  <c r="A154" i="1" s="1"/>
  <c r="B153" i="1"/>
  <c r="C153" i="1"/>
  <c r="E153" i="1" l="1"/>
  <c r="F153" i="1" s="1"/>
  <c r="B154" i="1"/>
  <c r="D155" i="1"/>
  <c r="A155" i="1" s="1"/>
  <c r="C154" i="1"/>
  <c r="E154" i="1" l="1"/>
  <c r="F154" i="1" s="1"/>
  <c r="C155" i="1"/>
  <c r="D156" i="1"/>
  <c r="A156" i="1" s="1"/>
  <c r="B155" i="1"/>
  <c r="E155" i="1" l="1"/>
  <c r="F155" i="1" s="1"/>
  <c r="D157" i="1"/>
  <c r="B156" i="1"/>
  <c r="C156" i="1"/>
  <c r="E156" i="1" l="1"/>
  <c r="F156" i="1" s="1"/>
  <c r="D158" i="1"/>
  <c r="C157" i="1"/>
  <c r="B157" i="1"/>
  <c r="D159" i="1" l="1"/>
  <c r="B158" i="1"/>
  <c r="E157" i="1"/>
  <c r="F157" i="1" s="1"/>
  <c r="C158" i="1"/>
  <c r="E158" i="1" l="1"/>
  <c r="F158" i="1" s="1"/>
  <c r="C159" i="1"/>
  <c r="D160" i="1"/>
  <c r="B159" i="1"/>
  <c r="E159" i="1" l="1"/>
  <c r="F159" i="1" s="1"/>
  <c r="C160" i="1"/>
  <c r="B160" i="1"/>
  <c r="D161" i="1"/>
  <c r="E160" i="1" l="1"/>
  <c r="F160" i="1" s="1"/>
  <c r="D162" i="1"/>
  <c r="B161" i="1"/>
  <c r="C161" i="1"/>
  <c r="E161" i="1" l="1"/>
  <c r="F161" i="1" s="1"/>
  <c r="B162" i="1"/>
  <c r="C162" i="1"/>
  <c r="D163" i="1"/>
  <c r="E162" i="1" l="1"/>
  <c r="F162" i="1" s="1"/>
  <c r="C163" i="1"/>
  <c r="D164" i="1"/>
  <c r="B163" i="1"/>
  <c r="E163" i="1" l="1"/>
  <c r="F163" i="1" s="1"/>
  <c r="D165" i="1"/>
  <c r="C164" i="1"/>
  <c r="B164" i="1"/>
  <c r="E164" i="1" l="1"/>
  <c r="F164" i="1" s="1"/>
  <c r="D166" i="1"/>
  <c r="C165" i="1"/>
  <c r="B165" i="1"/>
  <c r="E165" i="1" l="1"/>
  <c r="F165" i="1" s="1"/>
  <c r="B166" i="1"/>
  <c r="C166" i="1"/>
  <c r="D167" i="1"/>
  <c r="E166" i="1" l="1"/>
  <c r="F166" i="1" s="1"/>
  <c r="C167" i="1"/>
  <c r="B167" i="1"/>
  <c r="D168" i="1"/>
  <c r="E167" i="1" l="1"/>
  <c r="F167" i="1" s="1"/>
  <c r="B168" i="1"/>
  <c r="D169" i="1"/>
  <c r="C168" i="1"/>
  <c r="E168" i="1" l="1"/>
  <c r="F168" i="1" s="1"/>
  <c r="D170" i="1"/>
  <c r="B169" i="1"/>
  <c r="C169" i="1"/>
  <c r="E169" i="1" l="1"/>
  <c r="F169" i="1" s="1"/>
  <c r="B170" i="1"/>
  <c r="C170" i="1"/>
  <c r="D171" i="1"/>
  <c r="E170" i="1" l="1"/>
  <c r="F170" i="1" s="1"/>
  <c r="C171" i="1"/>
  <c r="D172" i="1"/>
  <c r="A172" i="1" s="1"/>
  <c r="B171" i="1"/>
  <c r="E171" i="1" l="1"/>
  <c r="F171" i="1" s="1"/>
  <c r="D173" i="1"/>
  <c r="A173" i="1" s="1"/>
  <c r="C172" i="1"/>
  <c r="B172" i="1"/>
  <c r="E172" i="1" l="1"/>
  <c r="F172" i="1" s="1"/>
  <c r="D174" i="1"/>
  <c r="A174" i="1" s="1"/>
  <c r="C173" i="1"/>
  <c r="B173" i="1"/>
  <c r="E173" i="1" l="1"/>
  <c r="F173" i="1" s="1"/>
  <c r="B174" i="1"/>
  <c r="C174" i="1"/>
  <c r="D175" i="1"/>
  <c r="A175" i="1" s="1"/>
  <c r="E174" i="1" l="1"/>
  <c r="F174" i="1" s="1"/>
  <c r="C175" i="1"/>
  <c r="D176" i="1"/>
  <c r="A176" i="1" s="1"/>
  <c r="B175" i="1"/>
  <c r="E175" i="1" l="1"/>
  <c r="F175" i="1" s="1"/>
  <c r="C176" i="1"/>
  <c r="B176" i="1"/>
  <c r="D177" i="1"/>
  <c r="A177" i="1" s="1"/>
  <c r="E176" i="1" l="1"/>
  <c r="F176" i="1" s="1"/>
  <c r="D178" i="1"/>
  <c r="A178" i="1" s="1"/>
  <c r="B177" i="1"/>
  <c r="C177" i="1"/>
  <c r="E177" i="1" l="1"/>
  <c r="F177" i="1" s="1"/>
  <c r="B178" i="1"/>
  <c r="D179" i="1"/>
  <c r="A179" i="1" s="1"/>
  <c r="C178" i="1"/>
  <c r="E178" i="1" l="1"/>
  <c r="F178" i="1" s="1"/>
  <c r="C179" i="1"/>
  <c r="D180" i="1"/>
  <c r="A180" i="1" s="1"/>
  <c r="B179" i="1"/>
  <c r="E179" i="1" l="1"/>
  <c r="F179" i="1" s="1"/>
  <c r="D181" i="1"/>
  <c r="A181" i="1" s="1"/>
  <c r="B180" i="1"/>
  <c r="C180" i="1"/>
  <c r="E180" i="1" l="1"/>
  <c r="F180" i="1" s="1"/>
  <c r="D182" i="1"/>
  <c r="A182" i="1" s="1"/>
  <c r="C181" i="1"/>
  <c r="B181" i="1"/>
  <c r="E181" i="1" l="1"/>
  <c r="F181" i="1" s="1"/>
  <c r="B182" i="1"/>
  <c r="C182" i="1"/>
  <c r="D183" i="1"/>
  <c r="A183" i="1" s="1"/>
  <c r="E182" i="1" l="1"/>
  <c r="F182" i="1" s="1"/>
  <c r="C183" i="1"/>
  <c r="B183" i="1"/>
  <c r="D184" i="1"/>
  <c r="A184" i="1" s="1"/>
  <c r="E183" i="1" l="1"/>
  <c r="F183" i="1" s="1"/>
  <c r="C184" i="1"/>
  <c r="B184" i="1"/>
  <c r="D185" i="1"/>
  <c r="A185" i="1" s="1"/>
  <c r="E184" i="1" l="1"/>
  <c r="F184" i="1" s="1"/>
  <c r="D186" i="1"/>
  <c r="A186" i="1" s="1"/>
  <c r="B185" i="1"/>
  <c r="C185" i="1"/>
  <c r="E185" i="1" l="1"/>
  <c r="F185" i="1" s="1"/>
  <c r="B186" i="1"/>
  <c r="C186" i="1"/>
  <c r="D187" i="1"/>
  <c r="E186" i="1" l="1"/>
  <c r="F186" i="1" s="1"/>
  <c r="C187" i="1"/>
  <c r="D188" i="1"/>
  <c r="B187" i="1"/>
  <c r="E187" i="1" l="1"/>
  <c r="F187" i="1" s="1"/>
  <c r="D189" i="1"/>
  <c r="C188" i="1"/>
  <c r="B188" i="1"/>
  <c r="E188" i="1" l="1"/>
  <c r="F188" i="1" s="1"/>
  <c r="D190" i="1"/>
  <c r="C189" i="1"/>
  <c r="B189" i="1"/>
  <c r="E189" i="1" l="1"/>
  <c r="F189" i="1" s="1"/>
  <c r="B190" i="1"/>
  <c r="C190" i="1"/>
  <c r="D191" i="1"/>
  <c r="E190" i="1" l="1"/>
  <c r="F190" i="1" s="1"/>
  <c r="D192" i="1"/>
  <c r="C191" i="1"/>
  <c r="B191" i="1"/>
  <c r="E191" i="1" l="1"/>
  <c r="F191" i="1" s="1"/>
  <c r="D193" i="1"/>
  <c r="C192" i="1"/>
  <c r="B192" i="1"/>
  <c r="E192" i="1" l="1"/>
  <c r="F192" i="1" s="1"/>
  <c r="B193" i="1"/>
  <c r="C193" i="1"/>
  <c r="D194" i="1"/>
  <c r="E193" i="1" l="1"/>
  <c r="F193" i="1" s="1"/>
  <c r="D195" i="1"/>
  <c r="C194" i="1"/>
  <c r="B194" i="1"/>
  <c r="E194" i="1" l="1"/>
  <c r="F194" i="1" s="1"/>
  <c r="D196" i="1"/>
  <c r="B195" i="1"/>
  <c r="C195" i="1"/>
  <c r="E195" i="1" l="1"/>
  <c r="F195" i="1" s="1"/>
  <c r="D197" i="1"/>
  <c r="C196" i="1"/>
  <c r="B196" i="1"/>
  <c r="E196" i="1" l="1"/>
  <c r="F196" i="1" s="1"/>
  <c r="B197" i="1"/>
  <c r="C197" i="1"/>
  <c r="D198" i="1"/>
  <c r="E197" i="1" l="1"/>
  <c r="F197" i="1" s="1"/>
  <c r="C198" i="1"/>
  <c r="D199" i="1"/>
  <c r="A199" i="1" s="1"/>
  <c r="B198" i="1"/>
  <c r="E198" i="1" l="1"/>
  <c r="F198" i="1" s="1"/>
  <c r="D200" i="1"/>
  <c r="A200" i="1" s="1"/>
  <c r="B199" i="1"/>
  <c r="C199" i="1"/>
  <c r="E199" i="1" l="1"/>
  <c r="F199" i="1" s="1"/>
  <c r="D201" i="1"/>
  <c r="A201" i="1" s="1"/>
  <c r="B200" i="1"/>
  <c r="C200" i="1"/>
  <c r="E200" i="1" l="1"/>
  <c r="F200" i="1" s="1"/>
  <c r="D202" i="1"/>
  <c r="A202" i="1" s="1"/>
  <c r="B201" i="1"/>
  <c r="C201" i="1"/>
  <c r="E201" i="1" l="1"/>
  <c r="F201" i="1" s="1"/>
  <c r="B202" i="1"/>
  <c r="D203" i="1"/>
  <c r="A203" i="1" s="1"/>
  <c r="C202" i="1"/>
  <c r="E202" i="1" l="1"/>
  <c r="F202" i="1" s="1"/>
  <c r="D204" i="1"/>
  <c r="A204" i="1" s="1"/>
  <c r="B203" i="1"/>
  <c r="C203" i="1"/>
  <c r="E203" i="1" l="1"/>
  <c r="F203" i="1" s="1"/>
  <c r="D205" i="1"/>
  <c r="A205" i="1" s="1"/>
  <c r="C204" i="1"/>
  <c r="B204" i="1"/>
  <c r="E204" i="1" l="1"/>
  <c r="F204" i="1" s="1"/>
  <c r="C205" i="1"/>
  <c r="D206" i="1"/>
  <c r="A206" i="1" s="1"/>
  <c r="B205" i="1"/>
  <c r="E205" i="1" l="1"/>
  <c r="F205" i="1" s="1"/>
  <c r="D207" i="1"/>
  <c r="A207" i="1" s="1"/>
  <c r="C206" i="1"/>
  <c r="B206" i="1"/>
  <c r="E206" i="1" l="1"/>
  <c r="F206" i="1" s="1"/>
  <c r="D208" i="1"/>
  <c r="A208" i="1" s="1"/>
  <c r="C207" i="1"/>
  <c r="B207" i="1"/>
  <c r="E207" i="1" l="1"/>
  <c r="F207" i="1" s="1"/>
  <c r="D209" i="1"/>
  <c r="A209" i="1" s="1"/>
  <c r="C208" i="1"/>
  <c r="B208" i="1"/>
  <c r="E208" i="1" l="1"/>
  <c r="F208" i="1" s="1"/>
  <c r="B209" i="1"/>
  <c r="D210" i="1"/>
  <c r="A210" i="1" s="1"/>
  <c r="C209" i="1"/>
  <c r="E209" i="1" l="1"/>
  <c r="F209" i="1" s="1"/>
  <c r="D211" i="1"/>
  <c r="A211" i="1" s="1"/>
  <c r="C210" i="1"/>
  <c r="B210" i="1"/>
  <c r="E210" i="1" l="1"/>
  <c r="F210" i="1" s="1"/>
  <c r="D212" i="1"/>
  <c r="A212" i="1" s="1"/>
  <c r="C211" i="1"/>
  <c r="B211" i="1"/>
  <c r="E211" i="1" l="1"/>
  <c r="F211" i="1" s="1"/>
  <c r="D213" i="1"/>
  <c r="A213" i="1" s="1"/>
  <c r="C212" i="1"/>
  <c r="B212" i="1"/>
  <c r="E212" i="1" l="1"/>
  <c r="F212" i="1" s="1"/>
  <c r="C213" i="1"/>
  <c r="B213" i="1"/>
  <c r="D214" i="1"/>
  <c r="A214" i="1" s="1"/>
  <c r="E213" i="1" l="1"/>
  <c r="F213" i="1" s="1"/>
  <c r="C214" i="1"/>
  <c r="D215" i="1"/>
  <c r="A215" i="1" s="1"/>
  <c r="B214" i="1"/>
  <c r="E214" i="1" l="1"/>
  <c r="F214" i="1" s="1"/>
  <c r="D216" i="1"/>
  <c r="A216" i="1" s="1"/>
  <c r="B215" i="1"/>
  <c r="C215" i="1"/>
  <c r="E215" i="1" l="1"/>
  <c r="F215" i="1" s="1"/>
  <c r="D217" i="1"/>
  <c r="A217" i="1" s="1"/>
  <c r="B216" i="1"/>
  <c r="C216" i="1"/>
  <c r="E216" i="1" l="1"/>
  <c r="F216" i="1" s="1"/>
  <c r="D218" i="1"/>
  <c r="B217" i="1"/>
  <c r="C217" i="1"/>
  <c r="E217" i="1" l="1"/>
  <c r="F217" i="1" s="1"/>
  <c r="D219" i="1"/>
  <c r="B218" i="1"/>
  <c r="C218" i="1"/>
  <c r="E218" i="1" l="1"/>
  <c r="F218" i="1" s="1"/>
  <c r="C219" i="1"/>
  <c r="D220" i="1"/>
  <c r="B219" i="1"/>
  <c r="E219" i="1" l="1"/>
  <c r="F219" i="1" s="1"/>
  <c r="B220" i="1"/>
  <c r="C220" i="1"/>
  <c r="D221" i="1"/>
  <c r="E220" i="1" l="1"/>
  <c r="F220" i="1" s="1"/>
  <c r="D222" i="1"/>
  <c r="B221" i="1"/>
  <c r="C221" i="1"/>
  <c r="E221" i="1" l="1"/>
  <c r="F221" i="1" s="1"/>
  <c r="D223" i="1"/>
  <c r="B222" i="1"/>
  <c r="C222" i="1"/>
  <c r="E222" i="1" l="1"/>
  <c r="F222" i="1" s="1"/>
  <c r="C223" i="1"/>
  <c r="B223" i="1"/>
  <c r="D224" i="1"/>
  <c r="E223" i="1" l="1"/>
  <c r="F223" i="1" s="1"/>
  <c r="D225" i="1"/>
  <c r="B224" i="1"/>
  <c r="C224" i="1"/>
  <c r="E224" i="1" l="1"/>
  <c r="F224" i="1" s="1"/>
  <c r="C225" i="1"/>
  <c r="D226" i="1"/>
  <c r="B225" i="1"/>
  <c r="E225" i="1" l="1"/>
  <c r="F225" i="1" s="1"/>
  <c r="D227" i="1"/>
  <c r="A227" i="1" s="1"/>
  <c r="B226" i="1"/>
  <c r="C226" i="1"/>
  <c r="E226" i="1" l="1"/>
  <c r="F226" i="1" s="1"/>
  <c r="D228" i="1"/>
  <c r="A228" i="1" s="1"/>
  <c r="B227" i="1"/>
  <c r="C227" i="1"/>
  <c r="E227" i="1" l="1"/>
  <c r="F227" i="1" s="1"/>
  <c r="B228" i="1"/>
  <c r="D229" i="1"/>
  <c r="A229" i="1" s="1"/>
  <c r="C228" i="1"/>
  <c r="E228" i="1" l="1"/>
  <c r="F228" i="1" s="1"/>
  <c r="B229" i="1"/>
  <c r="C229" i="1"/>
  <c r="D230" i="1"/>
  <c r="A230" i="1" s="1"/>
  <c r="E229" i="1" l="1"/>
  <c r="F229" i="1" s="1"/>
  <c r="D231" i="1"/>
  <c r="A231" i="1" s="1"/>
  <c r="B230" i="1"/>
  <c r="C230" i="1"/>
  <c r="E230" i="1" l="1"/>
  <c r="F230" i="1" s="1"/>
  <c r="C231" i="1"/>
  <c r="B231" i="1"/>
  <c r="D232" i="1"/>
  <c r="A232" i="1" s="1"/>
  <c r="E231" i="1" l="1"/>
  <c r="F231" i="1" s="1"/>
  <c r="D233" i="1"/>
  <c r="A233" i="1" s="1"/>
  <c r="B232" i="1"/>
  <c r="C232" i="1"/>
  <c r="E232" i="1" l="1"/>
  <c r="F232" i="1" s="1"/>
  <c r="B233" i="1"/>
  <c r="D234" i="1"/>
  <c r="A234" i="1" s="1"/>
  <c r="C233" i="1"/>
  <c r="E233" i="1" l="1"/>
  <c r="F233" i="1" s="1"/>
  <c r="D235" i="1"/>
  <c r="A235" i="1" s="1"/>
  <c r="C234" i="1"/>
  <c r="B234" i="1"/>
  <c r="E234" i="1" l="1"/>
  <c r="F234" i="1" s="1"/>
  <c r="B235" i="1"/>
  <c r="D236" i="1"/>
  <c r="A236" i="1" s="1"/>
  <c r="C235" i="1"/>
  <c r="E235" i="1" l="1"/>
  <c r="F235" i="1" s="1"/>
  <c r="C236" i="1"/>
  <c r="B236" i="1"/>
  <c r="D237" i="1"/>
  <c r="A237" i="1" s="1"/>
  <c r="E236" i="1" l="1"/>
  <c r="F236" i="1" s="1"/>
  <c r="B237" i="1"/>
  <c r="D238" i="1"/>
  <c r="A238" i="1" s="1"/>
  <c r="C237" i="1"/>
  <c r="E237" i="1" l="1"/>
  <c r="F237" i="1" s="1"/>
  <c r="C238" i="1"/>
  <c r="D239" i="1"/>
  <c r="A239" i="1" s="1"/>
  <c r="B238" i="1"/>
  <c r="E238" i="1" l="1"/>
  <c r="F238" i="1" s="1"/>
  <c r="C239" i="1"/>
  <c r="D240" i="1"/>
  <c r="A240" i="1" s="1"/>
  <c r="B239" i="1"/>
  <c r="E239" i="1" l="1"/>
  <c r="F239" i="1" s="1"/>
  <c r="B240" i="1"/>
  <c r="D241" i="1"/>
  <c r="A241" i="1" s="1"/>
  <c r="C240" i="1"/>
  <c r="E240" i="1" l="1"/>
  <c r="F240" i="1" s="1"/>
  <c r="B241" i="1"/>
  <c r="C241" i="1"/>
  <c r="D242" i="1"/>
  <c r="A242" i="1" s="1"/>
  <c r="E241" i="1" l="1"/>
  <c r="F241" i="1" s="1"/>
  <c r="C242" i="1"/>
  <c r="D243" i="1"/>
  <c r="A243" i="1" s="1"/>
  <c r="B242" i="1"/>
  <c r="E242" i="1" l="1"/>
  <c r="F242" i="1" s="1"/>
  <c r="C243" i="1"/>
  <c r="B243" i="1"/>
  <c r="D244" i="1"/>
  <c r="A244" i="1" s="1"/>
  <c r="E243" i="1" l="1"/>
  <c r="F243" i="1" s="1"/>
  <c r="B244" i="1"/>
  <c r="C244" i="1"/>
  <c r="D245" i="1"/>
  <c r="A245" i="1" s="1"/>
  <c r="E244" i="1" l="1"/>
  <c r="F244" i="1" s="1"/>
  <c r="B245" i="1"/>
  <c r="C245" i="1"/>
  <c r="D246" i="1"/>
  <c r="A246" i="1" s="1"/>
  <c r="E245" i="1" l="1"/>
  <c r="F245" i="1" s="1"/>
  <c r="C246" i="1"/>
  <c r="D247" i="1"/>
  <c r="A247" i="1" s="1"/>
  <c r="B246" i="1"/>
  <c r="E246" i="1" l="1"/>
  <c r="F246" i="1" s="1"/>
  <c r="B247" i="1"/>
  <c r="D248" i="1"/>
  <c r="A248" i="1" s="1"/>
  <c r="C247" i="1"/>
  <c r="E247" i="1" l="1"/>
  <c r="F247" i="1" s="1"/>
  <c r="D249" i="1"/>
  <c r="C248" i="1"/>
  <c r="B248" i="1"/>
  <c r="E248" i="1" l="1"/>
  <c r="F248" i="1" s="1"/>
  <c r="B249" i="1"/>
  <c r="D250" i="1"/>
  <c r="C249" i="1"/>
  <c r="E249" i="1" l="1"/>
  <c r="F249" i="1" s="1"/>
  <c r="C250" i="1"/>
  <c r="D251" i="1"/>
  <c r="B250" i="1"/>
  <c r="E250" i="1" l="1"/>
  <c r="F250" i="1" s="1"/>
  <c r="B251" i="1"/>
  <c r="D252" i="1"/>
  <c r="C251" i="1"/>
  <c r="E251" i="1" l="1"/>
  <c r="F251" i="1" s="1"/>
  <c r="C252" i="1"/>
  <c r="B252" i="1"/>
  <c r="D253" i="1"/>
  <c r="E252" i="1" l="1"/>
  <c r="F252" i="1" s="1"/>
  <c r="B253" i="1"/>
  <c r="D254" i="1"/>
  <c r="C253" i="1"/>
  <c r="E253" i="1" l="1"/>
  <c r="F253" i="1" s="1"/>
  <c r="C254" i="1"/>
  <c r="D255" i="1"/>
  <c r="A255" i="1" s="1"/>
  <c r="B254" i="1"/>
  <c r="E254" i="1" l="1"/>
  <c r="F254" i="1" s="1"/>
  <c r="D256" i="1"/>
  <c r="A256" i="1" s="1"/>
  <c r="C255" i="1"/>
  <c r="B255" i="1"/>
  <c r="E255" i="1" l="1"/>
  <c r="F255" i="1" s="1"/>
  <c r="C256" i="1"/>
  <c r="B256" i="1"/>
  <c r="D257" i="1"/>
  <c r="A257" i="1" s="1"/>
  <c r="E256" i="1" l="1"/>
  <c r="F256" i="1" s="1"/>
  <c r="B257" i="1"/>
  <c r="D258" i="1"/>
  <c r="A258" i="1" s="1"/>
  <c r="C257" i="1"/>
  <c r="E257" i="1" l="1"/>
  <c r="F257" i="1" s="1"/>
  <c r="D259" i="1"/>
  <c r="A259" i="1" s="1"/>
  <c r="C258" i="1"/>
  <c r="B258" i="1"/>
  <c r="E258" i="1" l="1"/>
  <c r="F258" i="1" s="1"/>
  <c r="D260" i="1"/>
  <c r="A260" i="1" s="1"/>
  <c r="C259" i="1"/>
  <c r="B259" i="1"/>
  <c r="E259" i="1" l="1"/>
  <c r="F259" i="1" s="1"/>
  <c r="B260" i="1"/>
  <c r="D261" i="1"/>
  <c r="A261" i="1" s="1"/>
  <c r="C260" i="1"/>
  <c r="E260" i="1" l="1"/>
  <c r="F260" i="1" s="1"/>
  <c r="D262" i="1"/>
  <c r="A262" i="1" s="1"/>
  <c r="C261" i="1"/>
  <c r="B261" i="1"/>
  <c r="E261" i="1" l="1"/>
  <c r="F261" i="1" s="1"/>
  <c r="D263" i="1"/>
  <c r="A263" i="1" s="1"/>
  <c r="B262" i="1"/>
  <c r="C262" i="1"/>
  <c r="E262" i="1" l="1"/>
  <c r="F262" i="1" s="1"/>
  <c r="C263" i="1"/>
  <c r="D264" i="1"/>
  <c r="A264" i="1" s="1"/>
  <c r="B263" i="1"/>
  <c r="E263" i="1" l="1"/>
  <c r="F263" i="1" s="1"/>
  <c r="D265" i="1"/>
  <c r="A265" i="1" s="1"/>
  <c r="C264" i="1"/>
  <c r="B264" i="1"/>
  <c r="E264" i="1" l="1"/>
  <c r="F264" i="1" s="1"/>
  <c r="D266" i="1"/>
  <c r="A266" i="1" s="1"/>
  <c r="C265" i="1"/>
  <c r="B265" i="1"/>
  <c r="E265" i="1" l="1"/>
  <c r="F265" i="1" s="1"/>
  <c r="D267" i="1"/>
  <c r="A267" i="1" s="1"/>
  <c r="B266" i="1"/>
  <c r="C266" i="1"/>
  <c r="E266" i="1" l="1"/>
  <c r="F266" i="1" s="1"/>
  <c r="B267" i="1"/>
  <c r="D268" i="1"/>
  <c r="A268" i="1" s="1"/>
  <c r="C267" i="1"/>
  <c r="E267" i="1" l="1"/>
  <c r="F267" i="1" s="1"/>
  <c r="C268" i="1"/>
  <c r="D269" i="1"/>
  <c r="A269" i="1" s="1"/>
  <c r="B268" i="1"/>
  <c r="E268" i="1" l="1"/>
  <c r="F268" i="1" s="1"/>
  <c r="D270" i="1"/>
  <c r="A270" i="1" s="1"/>
  <c r="C269" i="1"/>
  <c r="B269" i="1"/>
  <c r="E269" i="1" l="1"/>
  <c r="F269" i="1" s="1"/>
  <c r="D271" i="1"/>
  <c r="A271" i="1" s="1"/>
  <c r="C270" i="1"/>
  <c r="B270" i="1"/>
  <c r="E270" i="1" l="1"/>
  <c r="F270" i="1" s="1"/>
  <c r="D272" i="1"/>
  <c r="A272" i="1" s="1"/>
  <c r="C271" i="1"/>
  <c r="B271" i="1"/>
  <c r="E271" i="1" l="1"/>
  <c r="F271" i="1" s="1"/>
  <c r="C272" i="1"/>
  <c r="B272" i="1"/>
  <c r="D273" i="1"/>
  <c r="A273" i="1" s="1"/>
  <c r="E272" i="1" l="1"/>
  <c r="F272" i="1" s="1"/>
  <c r="D274" i="1"/>
  <c r="A274" i="1" s="1"/>
  <c r="C273" i="1"/>
  <c r="B273" i="1"/>
  <c r="E273" i="1" l="1"/>
  <c r="F273" i="1" s="1"/>
  <c r="D275" i="1"/>
  <c r="A275" i="1" s="1"/>
  <c r="B274" i="1"/>
  <c r="C274" i="1"/>
  <c r="E274" i="1" l="1"/>
  <c r="F274" i="1" s="1"/>
  <c r="C275" i="1"/>
  <c r="D276" i="1"/>
  <c r="A276" i="1" s="1"/>
  <c r="B275" i="1"/>
  <c r="E275" i="1" l="1"/>
  <c r="F275" i="1" s="1"/>
  <c r="B276" i="1"/>
  <c r="D277" i="1"/>
  <c r="A277" i="1" s="1"/>
  <c r="C276" i="1"/>
  <c r="E276" i="1" l="1"/>
  <c r="F276" i="1" s="1"/>
  <c r="D278" i="1"/>
  <c r="B277" i="1"/>
  <c r="C277" i="1"/>
  <c r="D279" i="1" l="1"/>
  <c r="A278" i="1"/>
  <c r="B278" i="1" s="1"/>
  <c r="E277" i="1"/>
  <c r="F277" i="1" s="1"/>
  <c r="C278" i="1"/>
  <c r="C279" i="1" l="1"/>
  <c r="E279" i="1" s="1"/>
  <c r="F279" i="1" s="1"/>
  <c r="B279" i="1"/>
  <c r="E278" i="1"/>
  <c r="F278" i="1" s="1"/>
  <c r="D280" i="1"/>
  <c r="C280" i="1" l="1"/>
  <c r="D281" i="1"/>
  <c r="B280" i="1"/>
  <c r="E280" i="1" l="1"/>
  <c r="F280" i="1" s="1"/>
  <c r="D282" i="1"/>
  <c r="C281" i="1"/>
  <c r="B281" i="1"/>
  <c r="E281" i="1" l="1"/>
  <c r="F281" i="1" s="1"/>
  <c r="D283" i="1"/>
  <c r="A283" i="1" s="1"/>
  <c r="C282" i="1"/>
  <c r="B282" i="1"/>
  <c r="E282" i="1" l="1"/>
  <c r="F282" i="1" s="1"/>
  <c r="B283" i="1"/>
  <c r="D284" i="1"/>
  <c r="A284" i="1" s="1"/>
  <c r="C283" i="1"/>
  <c r="E283" i="1" l="1"/>
  <c r="F283" i="1" s="1"/>
  <c r="B284" i="1"/>
  <c r="D285" i="1"/>
  <c r="A285" i="1" s="1"/>
  <c r="C284" i="1"/>
  <c r="E284" i="1" l="1"/>
  <c r="F284" i="1" s="1"/>
  <c r="D286" i="1"/>
  <c r="A286" i="1" s="1"/>
  <c r="C285" i="1"/>
  <c r="B285" i="1"/>
  <c r="E285" i="1" l="1"/>
  <c r="F285" i="1" s="1"/>
  <c r="D287" i="1"/>
  <c r="A287" i="1" s="1"/>
  <c r="C286" i="1"/>
  <c r="B286" i="1"/>
  <c r="E286" i="1" l="1"/>
  <c r="F286" i="1" s="1"/>
  <c r="C287" i="1"/>
  <c r="D288" i="1"/>
  <c r="A288" i="1" s="1"/>
  <c r="B287" i="1"/>
  <c r="E287" i="1" l="1"/>
  <c r="F287" i="1" s="1"/>
  <c r="C288" i="1"/>
  <c r="B288" i="1"/>
  <c r="D289" i="1"/>
  <c r="A289" i="1" s="1"/>
  <c r="E288" i="1" l="1"/>
  <c r="F288" i="1" s="1"/>
  <c r="D290" i="1"/>
  <c r="A290" i="1" s="1"/>
  <c r="B289" i="1"/>
  <c r="C289" i="1"/>
  <c r="E289" i="1" l="1"/>
  <c r="F289" i="1" s="1"/>
  <c r="D291" i="1"/>
  <c r="A291" i="1" s="1"/>
  <c r="B290" i="1"/>
  <c r="C290" i="1"/>
  <c r="E290" i="1" l="1"/>
  <c r="F290" i="1" s="1"/>
  <c r="B291" i="1"/>
  <c r="D292" i="1"/>
  <c r="A292" i="1" s="1"/>
  <c r="C291" i="1"/>
  <c r="E291" i="1" l="1"/>
  <c r="F291" i="1" s="1"/>
  <c r="B292" i="1"/>
  <c r="D293" i="1"/>
  <c r="A293" i="1" s="1"/>
  <c r="C292" i="1"/>
  <c r="E292" i="1" l="1"/>
  <c r="F292" i="1" s="1"/>
  <c r="D294" i="1"/>
  <c r="A294" i="1" s="1"/>
  <c r="C293" i="1"/>
  <c r="B293" i="1"/>
  <c r="E293" i="1" l="1"/>
  <c r="F293" i="1" s="1"/>
  <c r="D295" i="1"/>
  <c r="A295" i="1" s="1"/>
  <c r="B294" i="1"/>
  <c r="C294" i="1"/>
  <c r="E294" i="1" l="1"/>
  <c r="F294" i="1" s="1"/>
  <c r="C295" i="1"/>
  <c r="B295" i="1"/>
  <c r="D296" i="1"/>
  <c r="A296" i="1" s="1"/>
  <c r="E295" i="1" l="1"/>
  <c r="F295" i="1" s="1"/>
  <c r="B296" i="1"/>
  <c r="C296" i="1"/>
  <c r="D297" i="1"/>
  <c r="A297" i="1" s="1"/>
  <c r="E296" i="1" l="1"/>
  <c r="F296" i="1" s="1"/>
  <c r="D298" i="1"/>
  <c r="A298" i="1" s="1"/>
  <c r="C297" i="1"/>
  <c r="B297" i="1"/>
  <c r="E297" i="1" l="1"/>
  <c r="F297" i="1" s="1"/>
  <c r="D299" i="1"/>
  <c r="A299" i="1" s="1"/>
  <c r="C298" i="1"/>
  <c r="B298" i="1"/>
  <c r="E298" i="1" l="1"/>
  <c r="F298" i="1" s="1"/>
  <c r="B299" i="1"/>
  <c r="D300" i="1"/>
  <c r="A300" i="1" s="1"/>
  <c r="C299" i="1"/>
  <c r="E299" i="1" l="1"/>
  <c r="F299" i="1" s="1"/>
  <c r="C300" i="1"/>
  <c r="B300" i="1"/>
  <c r="D301" i="1"/>
  <c r="A301" i="1" s="1"/>
  <c r="E300" i="1" l="1"/>
  <c r="F300" i="1" s="1"/>
  <c r="D302" i="1"/>
  <c r="A302" i="1" s="1"/>
  <c r="B301" i="1"/>
  <c r="C301" i="1"/>
  <c r="E301" i="1" l="1"/>
  <c r="F301" i="1" s="1"/>
  <c r="D303" i="1"/>
  <c r="A303" i="1" s="1"/>
  <c r="C302" i="1"/>
  <c r="B302" i="1"/>
  <c r="E302" i="1" l="1"/>
  <c r="F302" i="1" s="1"/>
  <c r="B303" i="1"/>
  <c r="D304" i="1"/>
  <c r="A304" i="1" s="1"/>
  <c r="C303" i="1"/>
  <c r="E303" i="1" l="1"/>
  <c r="F303" i="1" s="1"/>
  <c r="C304" i="1"/>
  <c r="D305" i="1"/>
  <c r="A305" i="1" s="1"/>
  <c r="B304" i="1"/>
  <c r="E304" i="1" l="1"/>
  <c r="F304" i="1" s="1"/>
  <c r="D306" i="1"/>
  <c r="A306" i="1" s="1"/>
  <c r="C305" i="1"/>
  <c r="B305" i="1"/>
  <c r="E305" i="1" l="1"/>
  <c r="F305" i="1" s="1"/>
  <c r="D307" i="1"/>
  <c r="A307" i="1" s="1"/>
  <c r="B306" i="1"/>
  <c r="C306" i="1"/>
  <c r="E306" i="1" l="1"/>
  <c r="F306" i="1" s="1"/>
  <c r="B307" i="1"/>
  <c r="C307" i="1"/>
  <c r="D308" i="1"/>
  <c r="A308" i="1" s="1"/>
  <c r="E307" i="1" l="1"/>
  <c r="F307" i="1" s="1"/>
  <c r="B308" i="1"/>
  <c r="D309" i="1"/>
  <c r="A309" i="1" s="1"/>
  <c r="C308" i="1"/>
  <c r="E308" i="1" l="1"/>
  <c r="F308" i="1" s="1"/>
  <c r="D310" i="1"/>
  <c r="C309" i="1"/>
  <c r="B309" i="1"/>
  <c r="E309" i="1" l="1"/>
  <c r="F309" i="1" s="1"/>
  <c r="D311" i="1"/>
  <c r="C310" i="1"/>
  <c r="B310" i="1"/>
  <c r="E310" i="1" l="1"/>
  <c r="F310" i="1" s="1"/>
  <c r="C311" i="1"/>
  <c r="D312" i="1"/>
  <c r="A312" i="1" s="1"/>
  <c r="B311" i="1"/>
  <c r="E311" i="1" l="1"/>
  <c r="F311" i="1" s="1"/>
  <c r="C312" i="1"/>
  <c r="B312" i="1"/>
  <c r="D313" i="1"/>
  <c r="A313" i="1" s="1"/>
  <c r="E312" i="1" l="1"/>
  <c r="F312" i="1" s="1"/>
  <c r="D314" i="1"/>
  <c r="A314" i="1" s="1"/>
  <c r="C313" i="1"/>
  <c r="B313" i="1"/>
  <c r="E313" i="1" l="1"/>
  <c r="F313" i="1" s="1"/>
  <c r="D315" i="1"/>
  <c r="A315" i="1" s="1"/>
  <c r="B314" i="1"/>
  <c r="C314" i="1"/>
  <c r="E314" i="1" l="1"/>
  <c r="F314" i="1" s="1"/>
  <c r="B315" i="1"/>
  <c r="D316" i="1"/>
  <c r="A316" i="1" s="1"/>
  <c r="C315" i="1"/>
  <c r="E315" i="1" l="1"/>
  <c r="F315" i="1" s="1"/>
  <c r="D317" i="1"/>
  <c r="A317" i="1" s="1"/>
  <c r="C316" i="1"/>
  <c r="B316" i="1"/>
  <c r="E316" i="1" l="1"/>
  <c r="F316" i="1" s="1"/>
  <c r="D318" i="1"/>
  <c r="A318" i="1" s="1"/>
  <c r="C317" i="1"/>
  <c r="B317" i="1"/>
  <c r="E317" i="1" l="1"/>
  <c r="F317" i="1" s="1"/>
  <c r="D319" i="1"/>
  <c r="A319" i="1" s="1"/>
  <c r="C318" i="1"/>
  <c r="B318" i="1"/>
  <c r="E318" i="1" l="1"/>
  <c r="F318" i="1" s="1"/>
  <c r="C319" i="1"/>
  <c r="B319" i="1"/>
  <c r="D320" i="1"/>
  <c r="A320" i="1" s="1"/>
  <c r="E319" i="1" l="1"/>
  <c r="F319" i="1" s="1"/>
  <c r="C320" i="1"/>
  <c r="D321" i="1"/>
  <c r="A321" i="1" s="1"/>
  <c r="B320" i="1"/>
  <c r="E320" i="1" l="1"/>
  <c r="F320" i="1" s="1"/>
  <c r="D322" i="1"/>
  <c r="A322" i="1" s="1"/>
  <c r="C321" i="1"/>
  <c r="B321" i="1"/>
  <c r="E321" i="1" l="1"/>
  <c r="F321" i="1" s="1"/>
  <c r="D323" i="1"/>
  <c r="A323" i="1" s="1"/>
  <c r="B322" i="1"/>
  <c r="C322" i="1"/>
  <c r="E322" i="1" l="1"/>
  <c r="F322" i="1" s="1"/>
  <c r="D324" i="1"/>
  <c r="A324" i="1" s="1"/>
  <c r="C323" i="1"/>
  <c r="B323" i="1"/>
  <c r="E323" i="1" l="1"/>
  <c r="F323" i="1" s="1"/>
  <c r="B324" i="1"/>
  <c r="C324" i="1"/>
  <c r="D325" i="1"/>
  <c r="A325" i="1" s="1"/>
  <c r="E324" i="1" l="1"/>
  <c r="F324" i="1" s="1"/>
  <c r="D326" i="1"/>
  <c r="A326" i="1" s="1"/>
  <c r="B325" i="1"/>
  <c r="C325" i="1"/>
  <c r="E325" i="1" l="1"/>
  <c r="F325" i="1" s="1"/>
  <c r="C326" i="1"/>
  <c r="D327" i="1"/>
  <c r="A327" i="1" s="1"/>
  <c r="B326" i="1"/>
  <c r="E326" i="1" l="1"/>
  <c r="F326" i="1" s="1"/>
  <c r="C327" i="1"/>
  <c r="D328" i="1"/>
  <c r="A328" i="1" s="1"/>
  <c r="B327" i="1"/>
  <c r="E327" i="1" l="1"/>
  <c r="F327" i="1" s="1"/>
  <c r="C328" i="1"/>
  <c r="B328" i="1"/>
  <c r="D329" i="1"/>
  <c r="A329" i="1" s="1"/>
  <c r="E328" i="1" l="1"/>
  <c r="F328" i="1" s="1"/>
  <c r="D330" i="1"/>
  <c r="A330" i="1" s="1"/>
  <c r="B329" i="1"/>
  <c r="C329" i="1"/>
  <c r="E329" i="1" l="1"/>
  <c r="F329" i="1" s="1"/>
  <c r="C330" i="1"/>
  <c r="D331" i="1"/>
  <c r="A331" i="1" s="1"/>
  <c r="E330" i="1" l="1"/>
  <c r="F330" i="1" s="1"/>
  <c r="B330" i="1"/>
  <c r="B331" i="1" s="1"/>
  <c r="C331" i="1"/>
  <c r="D332" i="1"/>
  <c r="A332" i="1" s="1"/>
  <c r="E331" i="1" l="1"/>
  <c r="F331" i="1" s="1"/>
  <c r="B332" i="1"/>
  <c r="D333" i="1"/>
  <c r="A333" i="1" s="1"/>
  <c r="C332" i="1"/>
  <c r="E332" i="1" l="1"/>
  <c r="F332" i="1" s="1"/>
  <c r="D334" i="1"/>
  <c r="A334" i="1" s="1"/>
  <c r="B333" i="1"/>
  <c r="C333" i="1"/>
  <c r="E333" i="1" l="1"/>
  <c r="F333" i="1" s="1"/>
  <c r="C334" i="1"/>
  <c r="D335" i="1"/>
  <c r="A335" i="1" s="1"/>
  <c r="B334" i="1"/>
  <c r="E334" i="1" l="1"/>
  <c r="F334" i="1" s="1"/>
  <c r="C335" i="1"/>
  <c r="D336" i="1"/>
  <c r="A336" i="1" s="1"/>
  <c r="B335" i="1"/>
  <c r="E335" i="1" l="1"/>
  <c r="F335" i="1" s="1"/>
  <c r="C336" i="1"/>
  <c r="D337" i="1"/>
  <c r="A337" i="1" s="1"/>
  <c r="B336" i="1"/>
  <c r="E336" i="1" l="1"/>
  <c r="F336" i="1" s="1"/>
  <c r="D338" i="1"/>
  <c r="A338" i="1" s="1"/>
  <c r="B337" i="1"/>
  <c r="C337" i="1"/>
  <c r="E337" i="1" l="1"/>
  <c r="F337" i="1" s="1"/>
  <c r="C338" i="1"/>
  <c r="D339" i="1"/>
  <c r="B338" i="1"/>
  <c r="E338" i="1" l="1"/>
  <c r="F338" i="1" s="1"/>
  <c r="C339" i="1"/>
  <c r="B339" i="1"/>
  <c r="D340" i="1"/>
  <c r="A340" i="1" s="1"/>
  <c r="E339" i="1" l="1"/>
  <c r="F339" i="1" s="1"/>
  <c r="D341" i="1"/>
  <c r="A341" i="1" s="1"/>
  <c r="B340" i="1"/>
  <c r="C340" i="1"/>
  <c r="E340" i="1" l="1"/>
  <c r="F340" i="1" s="1"/>
  <c r="D342" i="1"/>
  <c r="A342" i="1" s="1"/>
  <c r="B341" i="1"/>
  <c r="C341" i="1"/>
  <c r="E341" i="1" l="1"/>
  <c r="F341" i="1" s="1"/>
  <c r="C342" i="1"/>
  <c r="D343" i="1"/>
  <c r="A343" i="1" s="1"/>
  <c r="B342" i="1"/>
  <c r="E342" i="1" l="1"/>
  <c r="F342" i="1" s="1"/>
  <c r="C343" i="1"/>
  <c r="D344" i="1"/>
  <c r="A344" i="1" s="1"/>
  <c r="B343" i="1"/>
  <c r="E343" i="1" l="1"/>
  <c r="F343" i="1" s="1"/>
  <c r="C344" i="1"/>
  <c r="D345" i="1"/>
  <c r="A345" i="1" s="1"/>
  <c r="B344" i="1"/>
  <c r="E344" i="1" l="1"/>
  <c r="F344" i="1" s="1"/>
  <c r="D346" i="1"/>
  <c r="A346" i="1" s="1"/>
  <c r="B345" i="1"/>
  <c r="C345" i="1"/>
  <c r="E345" i="1" l="1"/>
  <c r="F345" i="1" s="1"/>
  <c r="C346" i="1"/>
  <c r="D347" i="1"/>
  <c r="A347" i="1" s="1"/>
  <c r="B346" i="1"/>
  <c r="E346" i="1" l="1"/>
  <c r="F346" i="1" s="1"/>
  <c r="C347" i="1"/>
  <c r="B347" i="1"/>
  <c r="D348" i="1"/>
  <c r="A348" i="1" s="1"/>
  <c r="E347" i="1" l="1"/>
  <c r="F347" i="1" s="1"/>
  <c r="D349" i="1"/>
  <c r="A349" i="1" s="1"/>
  <c r="C348" i="1"/>
  <c r="B348" i="1"/>
  <c r="E348" i="1" l="1"/>
  <c r="F348" i="1" s="1"/>
  <c r="D350" i="1"/>
  <c r="A350" i="1" s="1"/>
  <c r="B349" i="1"/>
  <c r="C349" i="1"/>
  <c r="E349" i="1" l="1"/>
  <c r="F349" i="1" s="1"/>
  <c r="C350" i="1"/>
  <c r="D351" i="1"/>
  <c r="A351" i="1" s="1"/>
  <c r="B350" i="1"/>
  <c r="E350" i="1" l="1"/>
  <c r="F350" i="1" s="1"/>
  <c r="C351" i="1"/>
  <c r="D352" i="1"/>
  <c r="A352" i="1" s="1"/>
  <c r="B351" i="1"/>
  <c r="E351" i="1" l="1"/>
  <c r="F351" i="1" s="1"/>
  <c r="C352" i="1"/>
  <c r="B352" i="1"/>
  <c r="D353" i="1"/>
  <c r="A353" i="1" s="1"/>
  <c r="E352" i="1" l="1"/>
  <c r="F352" i="1" s="1"/>
  <c r="D354" i="1"/>
  <c r="A354" i="1" s="1"/>
  <c r="B353" i="1"/>
  <c r="C353" i="1"/>
  <c r="E353" i="1" l="1"/>
  <c r="F353" i="1" s="1"/>
  <c r="C354" i="1"/>
  <c r="D355" i="1"/>
  <c r="A355" i="1" s="1"/>
  <c r="B354" i="1"/>
  <c r="E354" i="1" l="1"/>
  <c r="F354" i="1" s="1"/>
  <c r="C355" i="1"/>
  <c r="B355" i="1"/>
  <c r="D356" i="1"/>
  <c r="A356" i="1" s="1"/>
  <c r="E355" i="1" l="1"/>
  <c r="F355" i="1" s="1"/>
  <c r="C356" i="1"/>
  <c r="B356" i="1"/>
  <c r="D357" i="1"/>
  <c r="A357" i="1" s="1"/>
  <c r="E356" i="1" l="1"/>
  <c r="F356" i="1" s="1"/>
  <c r="D358" i="1"/>
  <c r="A358" i="1" s="1"/>
  <c r="B357" i="1"/>
  <c r="C357" i="1"/>
  <c r="E357" i="1" l="1"/>
  <c r="F357" i="1" s="1"/>
  <c r="C358" i="1"/>
  <c r="D359" i="1"/>
  <c r="A359" i="1" s="1"/>
  <c r="B358" i="1"/>
  <c r="E358" i="1" l="1"/>
  <c r="F358" i="1" s="1"/>
  <c r="C359" i="1"/>
  <c r="D360" i="1"/>
  <c r="A360" i="1" s="1"/>
  <c r="B359" i="1"/>
  <c r="E359" i="1" l="1"/>
  <c r="F359" i="1" s="1"/>
  <c r="C360" i="1"/>
  <c r="B360" i="1"/>
  <c r="D361" i="1"/>
  <c r="A361" i="1" s="1"/>
  <c r="E360" i="1" l="1"/>
  <c r="F360" i="1" s="1"/>
  <c r="D362" i="1"/>
  <c r="A362" i="1" s="1"/>
  <c r="B361" i="1"/>
  <c r="C361" i="1"/>
  <c r="E361" i="1" l="1"/>
  <c r="F361" i="1" s="1"/>
  <c r="C362" i="1"/>
  <c r="D363" i="1"/>
  <c r="A363" i="1" s="1"/>
  <c r="B362" i="1"/>
  <c r="E362" i="1" l="1"/>
  <c r="F362" i="1" s="1"/>
  <c r="C363" i="1"/>
  <c r="B363" i="1"/>
  <c r="D364" i="1"/>
  <c r="A364" i="1" s="1"/>
  <c r="E363" i="1" l="1"/>
  <c r="F363" i="1" s="1"/>
  <c r="B364" i="1"/>
  <c r="D365" i="1"/>
  <c r="A365" i="1" s="1"/>
  <c r="C364" i="1"/>
  <c r="E364" i="1" l="1"/>
  <c r="F364" i="1" s="1"/>
  <c r="C365" i="1"/>
  <c r="D366" i="1"/>
  <c r="A366" i="1" s="1"/>
  <c r="B365" i="1"/>
  <c r="E365" i="1" l="1"/>
  <c r="F365" i="1" s="1"/>
  <c r="C366" i="1"/>
  <c r="D367" i="1"/>
  <c r="A367" i="1" s="1"/>
  <c r="B366" i="1"/>
  <c r="E366" i="1" l="1"/>
  <c r="F366" i="1" s="1"/>
  <c r="C367" i="1"/>
  <c r="B367" i="1"/>
  <c r="D368" i="1"/>
  <c r="A368" i="1" s="1"/>
  <c r="E367" i="1" l="1"/>
  <c r="F367" i="1" s="1"/>
  <c r="B368" i="1"/>
  <c r="C368" i="1"/>
  <c r="D369" i="1"/>
  <c r="A369" i="1" s="1"/>
  <c r="E368" i="1" l="1"/>
  <c r="F368" i="1" s="1"/>
  <c r="C369" i="1"/>
  <c r="D370" i="1"/>
  <c r="A370" i="1" s="1"/>
  <c r="B369" i="1"/>
  <c r="E369" i="1" l="1"/>
  <c r="F369" i="1" s="1"/>
  <c r="C370" i="1"/>
  <c r="D371" i="1"/>
  <c r="A371" i="1" s="1"/>
  <c r="B370" i="1"/>
  <c r="I22" i="1" l="1"/>
  <c r="I21" i="1"/>
  <c r="E370" i="1"/>
  <c r="F370" i="1" s="1"/>
  <c r="C371" i="1"/>
  <c r="E371" i="1" l="1"/>
  <c r="F371" i="1" s="1"/>
  <c r="I20" i="1"/>
  <c r="I9" i="1"/>
  <c r="I13" i="1"/>
  <c r="I11" i="1"/>
  <c r="I19" i="1"/>
  <c r="I18" i="1"/>
  <c r="I14" i="1"/>
  <c r="I12" i="1"/>
  <c r="I16" i="1"/>
  <c r="I10" i="1"/>
  <c r="I17" i="1"/>
  <c r="I15" i="1"/>
  <c r="B371" i="1"/>
  <c r="J10" i="1" l="1"/>
  <c r="K9" i="1"/>
  <c r="L9" i="1" s="1"/>
  <c r="K10" i="1" l="1"/>
  <c r="L10" i="1" s="1"/>
  <c r="J11" i="1"/>
  <c r="J12" i="1" l="1"/>
  <c r="K11" i="1"/>
  <c r="L11" i="1" s="1"/>
  <c r="J13" i="1" l="1"/>
  <c r="K12" i="1"/>
  <c r="L12" i="1" s="1"/>
  <c r="J14" i="1" l="1"/>
  <c r="K13" i="1"/>
  <c r="L13" i="1" s="1"/>
  <c r="J15" i="1" l="1"/>
  <c r="K14" i="1"/>
  <c r="L14" i="1" s="1"/>
  <c r="J16" i="1" l="1"/>
  <c r="K15" i="1"/>
  <c r="L15" i="1"/>
  <c r="J17" i="1" l="1"/>
  <c r="K16" i="1"/>
  <c r="L16" i="1" s="1"/>
  <c r="J18" i="1" l="1"/>
  <c r="K17" i="1"/>
  <c r="L17" i="1" s="1"/>
  <c r="J19" i="1" l="1"/>
  <c r="K18" i="1"/>
  <c r="L18" i="1" s="1"/>
  <c r="J20" i="1" l="1"/>
  <c r="K19" i="1"/>
  <c r="L19" i="1" s="1"/>
  <c r="K20" i="1" l="1"/>
  <c r="L20" i="1" s="1"/>
  <c r="J21" i="1"/>
  <c r="J22" i="1" s="1"/>
  <c r="K22" i="1" s="1"/>
  <c r="L22" i="1" l="1"/>
  <c r="K21" i="1"/>
  <c r="L21" i="1" s="1"/>
</calcChain>
</file>

<file path=xl/sharedStrings.xml><?xml version="1.0" encoding="utf-8"?>
<sst xmlns="http://schemas.openxmlformats.org/spreadsheetml/2006/main" count="122" uniqueCount="93">
  <si>
    <t>Cycle Calendar</t>
  </si>
  <si>
    <t xml:space="preserve">Cycle Header: </t>
  </si>
  <si>
    <t>Cycle</t>
  </si>
  <si>
    <t>Zone</t>
  </si>
  <si>
    <t>Day</t>
  </si>
  <si>
    <t>Cycle Date</t>
  </si>
  <si>
    <t>Type</t>
  </si>
  <si>
    <t>Label</t>
  </si>
  <si>
    <t>(type: integer | size: 2)</t>
  </si>
  <si>
    <t>(type: date | size: 10)</t>
  </si>
  <si>
    <t>(type: text | size: 1)</t>
  </si>
  <si>
    <t>(type: text | size: 3)</t>
  </si>
  <si>
    <t>1, 2, 3, 4, etc.</t>
  </si>
  <si>
    <t>format: YYYY-MM-DD</t>
  </si>
  <si>
    <t>(e.g. R, W, H)</t>
  </si>
  <si>
    <t>(e.g. R1, R2, W1, H1, etc.)</t>
  </si>
  <si>
    <t>Date</t>
  </si>
  <si>
    <t>Day of Week</t>
  </si>
  <si>
    <t>Holiday</t>
  </si>
  <si>
    <t>(type: integer | size: 8)</t>
  </si>
  <si>
    <t>(type: text | size: 50)</t>
  </si>
  <si>
    <t>Monday, Tuesday, etc.</t>
  </si>
  <si>
    <t>(e.g. New Year's Day, Good Friday, Christmas Day, etc.)</t>
  </si>
  <si>
    <t>Good Friday</t>
  </si>
  <si>
    <t>Labor Day</t>
  </si>
  <si>
    <t>Independence Day</t>
  </si>
  <si>
    <t>Bonifacio Day</t>
  </si>
  <si>
    <t>Christmas Day</t>
  </si>
  <si>
    <t>Field Name</t>
  </si>
  <si>
    <t>Settings</t>
  </si>
  <si>
    <t>Settings Guide</t>
  </si>
  <si>
    <t>Remarks</t>
  </si>
  <si>
    <t>Calendar Type</t>
  </si>
  <si>
    <r>
      <rPr>
        <b/>
        <sz val="11"/>
        <color theme="1"/>
        <rFont val="Calibri"/>
        <family val="2"/>
        <scheme val="minor"/>
      </rPr>
      <t>Calendar-Based:</t>
    </r>
    <r>
      <rPr>
        <sz val="11"/>
        <color theme="1"/>
        <rFont val="Calibri"/>
        <family val="2"/>
        <scheme val="minor"/>
      </rPr>
      <t xml:space="preserve"> Number of days is 
       based on the calendar month
</t>
    </r>
    <r>
      <rPr>
        <b/>
        <sz val="11"/>
        <color theme="1"/>
        <rFont val="Calibri"/>
        <family val="2"/>
        <scheme val="minor"/>
      </rPr>
      <t>Cycle-Based:</t>
    </r>
    <r>
      <rPr>
        <sz val="11"/>
        <color theme="1"/>
        <rFont val="Calibri"/>
        <family val="2"/>
        <scheme val="minor"/>
      </rPr>
      <t xml:space="preserve"> Number of days is based 
       on Days-per-Cycle value</t>
    </r>
  </si>
  <si>
    <r>
      <t xml:space="preserve">Select </t>
    </r>
    <r>
      <rPr>
        <b/>
        <sz val="11"/>
        <color theme="1"/>
        <rFont val="Calibri"/>
        <family val="2"/>
        <scheme val="minor"/>
      </rPr>
      <t>Calendar-Based</t>
    </r>
    <r>
      <rPr>
        <sz val="11"/>
        <color theme="1"/>
        <rFont val="Calibri"/>
        <family val="2"/>
        <scheme val="minor"/>
      </rPr>
      <t xml:space="preserve"> if client uses calendar months for their operations (i.e. January = 31 days, February = 28/29 days, etc.).
Select </t>
    </r>
    <r>
      <rPr>
        <b/>
        <sz val="11"/>
        <color theme="1"/>
        <rFont val="Calibri"/>
        <family val="2"/>
        <scheme val="minor"/>
      </rPr>
      <t xml:space="preserve">Cycle-Based </t>
    </r>
    <r>
      <rPr>
        <sz val="11"/>
        <color theme="1"/>
        <rFont val="Calibri"/>
        <family val="2"/>
        <scheme val="minor"/>
      </rPr>
      <t>if client uses a fixed number of days for their operations (e.g. 20 days cycle, 2-week cycle, etc.)</t>
    </r>
  </si>
  <si>
    <t>Days per Cycle</t>
  </si>
  <si>
    <t>Fixed number of days included in a cycle</t>
  </si>
  <si>
    <t>Start date is either January 1, or the starting date of a fiscal year</t>
  </si>
  <si>
    <t>Cycle Header</t>
  </si>
  <si>
    <t>The applicable year for the Cycle Calendar</t>
  </si>
  <si>
    <t>Start Date of Year</t>
  </si>
  <si>
    <t>Valid Characters:
Numeric , /</t>
  </si>
  <si>
    <t>Valid Characters:
Alpha</t>
  </si>
  <si>
    <t>Valid Characters:
Alphanumeric, ÑñÉé .,'/()&amp;-@#</t>
  </si>
  <si>
    <t>Valid Characters:
Alphanumeric</t>
  </si>
  <si>
    <t>Refers to a fixed number of days included for a given cycle if the Calendar Type is 
"Cycle-Based". This value has no effect if Calendar Type is set to "Calendar-Based"</t>
  </si>
  <si>
    <t>If client is using a Calendar year, then start date should be January 1, otherwise, if using a Fiscal year, then specify the start date of the Fiscal year</t>
  </si>
  <si>
    <t>The Cycle Header label will be prefixed with "CY" plus the value specified in the 'Cycle_Header' named range. This is auto-calculated from the year of the Start Date</t>
  </si>
  <si>
    <t>Maundy Thursday</t>
  </si>
  <si>
    <t>New Year's Day</t>
  </si>
  <si>
    <t>CYCLE 1</t>
  </si>
  <si>
    <t>CYCLE 2</t>
  </si>
  <si>
    <t>CYCLE 3</t>
  </si>
  <si>
    <t>CYCLE 4</t>
  </si>
  <si>
    <t>CYCLE 5</t>
  </si>
  <si>
    <t>CYCLE 6</t>
  </si>
  <si>
    <t>CYCLE 7</t>
  </si>
  <si>
    <t>CYCLE 8</t>
  </si>
  <si>
    <t>CYCLE 9</t>
  </si>
  <si>
    <t>CYCLE 10</t>
  </si>
  <si>
    <t>CYCLE 11</t>
  </si>
  <si>
    <t>CYCLE 12</t>
  </si>
  <si>
    <t>End Date of Year</t>
  </si>
  <si>
    <t>CYCLE</t>
  </si>
  <si>
    <t># OF DAYS</t>
  </si>
  <si>
    <t>FROM</t>
  </si>
  <si>
    <t>TO</t>
  </si>
  <si>
    <t>HOLIDAYS</t>
  </si>
  <si>
    <r>
      <rPr>
        <b/>
        <sz val="10"/>
        <color rgb="FFFF0000"/>
        <rFont val="Calibri"/>
        <family val="2"/>
        <scheme val="minor"/>
      </rPr>
      <t xml:space="preserve">  
   </t>
    </r>
    <r>
      <rPr>
        <b/>
        <sz val="11"/>
        <color rgb="FFFF0000"/>
        <rFont val="Calibri"/>
        <family val="2"/>
        <scheme val="minor"/>
      </rPr>
      <t>How to use this template:</t>
    </r>
    <r>
      <rPr>
        <sz val="10"/>
        <color theme="1"/>
        <rFont val="Calibri"/>
        <family val="2"/>
        <scheme val="minor"/>
      </rPr>
      <t xml:space="preserve">
   1. Enter all holidays in the </t>
    </r>
    <r>
      <rPr>
        <b/>
        <sz val="10"/>
        <color rgb="FFFF0000"/>
        <rFont val="Calibri"/>
        <family val="2"/>
        <scheme val="minor"/>
      </rPr>
      <t>Holidays</t>
    </r>
    <r>
      <rPr>
        <b/>
        <sz val="10"/>
        <color theme="1"/>
        <rFont val="Calibri"/>
        <family val="2"/>
        <scheme val="minor"/>
      </rPr>
      <t xml:space="preserve"> </t>
    </r>
    <r>
      <rPr>
        <sz val="10"/>
        <color theme="1"/>
        <rFont val="Calibri"/>
        <family val="2"/>
        <scheme val="minor"/>
      </rPr>
      <t xml:space="preserve">worksheet
        </t>
    </r>
    <r>
      <rPr>
        <i/>
        <sz val="10"/>
        <color theme="1"/>
        <rFont val="Calibri"/>
        <family val="2"/>
        <scheme val="minor"/>
      </rPr>
      <t>Note: All National and Legal holidays are already indicated 
                  but you may also enter your company holidays (e.g. outing)</t>
    </r>
    <r>
      <rPr>
        <sz val="10"/>
        <color theme="1"/>
        <rFont val="Calibri"/>
        <family val="2"/>
        <scheme val="minor"/>
      </rPr>
      <t xml:space="preserve">
   2. In the </t>
    </r>
    <r>
      <rPr>
        <b/>
        <sz val="10"/>
        <color rgb="FFFF0000"/>
        <rFont val="Calibri"/>
        <family val="2"/>
        <scheme val="minor"/>
      </rPr>
      <t>Settings</t>
    </r>
    <r>
      <rPr>
        <b/>
        <sz val="10"/>
        <color theme="1"/>
        <rFont val="Calibri"/>
        <family val="2"/>
        <scheme val="minor"/>
      </rPr>
      <t xml:space="preserve"> </t>
    </r>
    <r>
      <rPr>
        <sz val="10"/>
        <color theme="1"/>
        <rFont val="Calibri"/>
        <family val="2"/>
        <scheme val="minor"/>
      </rPr>
      <t xml:space="preserve">worksheet, choose the type of calendar 
        that your company uses (i.e. Cycle-Based or Calendar-Based)
   3. Enter the </t>
    </r>
    <r>
      <rPr>
        <b/>
        <sz val="10"/>
        <color theme="4"/>
        <rFont val="Calibri"/>
        <family val="2"/>
        <scheme val="minor"/>
      </rPr>
      <t>Start and End Date</t>
    </r>
    <r>
      <rPr>
        <sz val="10"/>
        <color rgb="FF00B0F0"/>
        <rFont val="Calibri"/>
        <family val="2"/>
        <scheme val="minor"/>
      </rPr>
      <t xml:space="preserve"> </t>
    </r>
    <r>
      <rPr>
        <sz val="10"/>
        <color theme="1"/>
        <rFont val="Calibri"/>
        <family val="2"/>
        <scheme val="minor"/>
      </rPr>
      <t xml:space="preserve">of your business calendar
   4. Verify the # of Days and the inclusive dates per cycle below 
   5. Save the Cycle Calendar template file and email it to 
        </t>
    </r>
    <r>
      <rPr>
        <b/>
        <u/>
        <sz val="10"/>
        <color theme="5" tint="-0.249977111117893"/>
        <rFont val="Calibri"/>
        <family val="2"/>
        <scheme val="minor"/>
      </rPr>
      <t>sfe.support@electronicscience.com</t>
    </r>
    <r>
      <rPr>
        <b/>
        <sz val="10"/>
        <color theme="5" tint="-0.249977111117893"/>
        <rFont val="Calibri"/>
        <family val="2"/>
        <scheme val="minor"/>
      </rPr>
      <t xml:space="preserve"> </t>
    </r>
  </si>
  <si>
    <t>Rizal Day</t>
  </si>
  <si>
    <t>End date is either December 31, or the last date of a fiscal year</t>
  </si>
  <si>
    <t>If client is using a Calendar year, then end date should be December 31, otherwise, if using a Fiscal year, then specify the end date of the client's Fiscal year</t>
  </si>
  <si>
    <t>Black Saturday</t>
  </si>
  <si>
    <t>Yes - Weekend date that falls on a holiday will be tagged as "H"
No - Weekend date that falls on a holiday will be tagged as "W"</t>
  </si>
  <si>
    <t>Determines what will be the TYPE to be assigned for weekend dates that falll also on a holiday</t>
  </si>
  <si>
    <t>Number Of Weekends</t>
  </si>
  <si>
    <t>Weekend as Holiday</t>
  </si>
  <si>
    <t>The value is auto-computed based on the specified number of Days per Cycle divided by 5 and multiplied by 2</t>
  </si>
  <si>
    <t>The "Number of Weekends" setting is used in the formula of the "Cycle number" that determines the total count of weekend dates that will be included or to be added to the "Days per Cycle" value in order to establish the inclusive dates of a given cycle</t>
  </si>
  <si>
    <t>NO</t>
  </si>
  <si>
    <t>Calendar-Based</t>
  </si>
  <si>
    <t>List of Holidays for 2025</t>
  </si>
  <si>
    <t>Chinese New Year</t>
  </si>
  <si>
    <t>Araw ng Kagitingan</t>
  </si>
  <si>
    <t>Ninoy Aquino Day</t>
  </si>
  <si>
    <t>National Heroes Day</t>
  </si>
  <si>
    <t>All Soul's Day</t>
  </si>
  <si>
    <t>Christmas Eve</t>
  </si>
  <si>
    <t>Company Holiday</t>
  </si>
  <si>
    <t>Natcon</t>
  </si>
  <si>
    <t>Holy Week</t>
  </si>
  <si>
    <t>Mid Con</t>
  </si>
  <si>
    <t>Medchoice Shutdown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</si>
</sst>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yyyy\-mm\-dd"/>
    <numFmt numFmtId="166" formatCode="mm/dd/yy;@"/>
  </numFmts>
  <fonts count="23" x14ac:knownFonts="1">
    <font>
      <sz val="11"/>
      <color theme="1"/>
      <name val="Calibri"/>
      <family val="2"/>
      <scheme val="minor"/>
    </font>
    <font>
      <sz val="11"/>
      <color theme="1"/>
      <name val="Calibri"/>
      <family val="2"/>
      <scheme val="minor"/>
    </font>
    <font>
      <b/>
      <sz val="11"/>
      <color theme="1"/>
      <name val="Calibri"/>
      <family val="2"/>
      <scheme val="minor"/>
    </font>
    <font>
      <b/>
      <sz val="16"/>
      <color theme="0" tint="-4.9989318521683403E-2"/>
      <name val="Calibri"/>
      <family val="2"/>
      <scheme val="minor"/>
    </font>
    <font>
      <b/>
      <sz val="11"/>
      <color theme="0" tint="-4.9989318521683403E-2"/>
      <name val="Calibri"/>
      <family val="2"/>
      <scheme val="minor"/>
    </font>
    <font>
      <b/>
      <sz val="14"/>
      <color theme="0" tint="-4.9989318521683403E-2"/>
      <name val="Calibri"/>
      <family val="2"/>
      <scheme val="minor"/>
    </font>
    <font>
      <b/>
      <sz val="11"/>
      <color rgb="FFFF0000"/>
      <name val="Calibri"/>
      <family val="2"/>
      <scheme val="minor"/>
    </font>
    <font>
      <i/>
      <sz val="10"/>
      <color theme="1"/>
      <name val="Calibri"/>
      <family val="2"/>
      <scheme val="minor"/>
    </font>
    <font>
      <i/>
      <sz val="10"/>
      <name val="Calibri"/>
      <family val="2"/>
      <scheme val="minor"/>
    </font>
    <font>
      <sz val="10"/>
      <color theme="1"/>
      <name val="Calibri"/>
      <family val="2"/>
      <scheme val="minor"/>
    </font>
    <font>
      <sz val="9"/>
      <color theme="1"/>
      <name val="Calibri"/>
      <family val="2"/>
      <scheme val="minor"/>
    </font>
    <font>
      <sz val="9"/>
      <name val="Calibri"/>
      <family val="2"/>
      <scheme val="minor"/>
    </font>
    <font>
      <sz val="8"/>
      <color theme="1"/>
      <name val="Calibri"/>
      <family val="2"/>
      <scheme val="minor"/>
    </font>
    <font>
      <sz val="8"/>
      <name val="Calibri"/>
      <family val="2"/>
      <scheme val="minor"/>
    </font>
    <font>
      <b/>
      <sz val="12"/>
      <color theme="1"/>
      <name val="Calibri"/>
      <family val="2"/>
      <scheme val="minor"/>
    </font>
    <font>
      <b/>
      <sz val="10"/>
      <color rgb="FFFF0000"/>
      <name val="Calibri"/>
      <family val="2"/>
      <scheme val="minor"/>
    </font>
    <font>
      <b/>
      <sz val="10"/>
      <color theme="1"/>
      <name val="Calibri"/>
      <family val="2"/>
      <scheme val="minor"/>
    </font>
    <font>
      <b/>
      <sz val="10"/>
      <color theme="4"/>
      <name val="Calibri"/>
      <family val="2"/>
      <scheme val="minor"/>
    </font>
    <font>
      <sz val="10"/>
      <color rgb="FF00B0F0"/>
      <name val="Calibri"/>
      <family val="2"/>
      <scheme val="minor"/>
    </font>
    <font>
      <b/>
      <u/>
      <sz val="10"/>
      <color theme="5" tint="-0.249977111117893"/>
      <name val="Calibri"/>
      <family val="2"/>
      <scheme val="minor"/>
    </font>
    <font>
      <b/>
      <sz val="10"/>
      <color theme="5" tint="-0.249977111117893"/>
      <name val="Calibri"/>
      <family val="2"/>
      <scheme val="minor"/>
    </font>
    <font>
      <b/>
      <sz val="9"/>
      <color theme="0"/>
      <name val="Calibri"/>
      <family val="2"/>
      <scheme val="minor"/>
    </font>
    <font>
      <sz val="11"/>
      <color rgb="FFFF0000"/>
      <name val="Calibri"/>
      <family val="2"/>
      <scheme val="minor"/>
    </font>
  </fonts>
  <fills count="9">
    <fill>
      <patternFill patternType="none"/>
    </fill>
    <fill>
      <patternFill patternType="gray125"/>
    </fill>
    <fill>
      <patternFill patternType="solid">
        <fgColor theme="3" tint="-0.249977111117893"/>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9" tint="-0.249977111117893"/>
        <bgColor indexed="64"/>
      </patternFill>
    </fill>
  </fills>
  <borders count="8">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theme="0" tint="-0.34998626667073579"/>
      </top>
      <bottom/>
      <diagonal/>
    </border>
  </borders>
  <cellStyleXfs count="2">
    <xf numFmtId="0" fontId="0" fillId="0" borderId="0"/>
    <xf numFmtId="0" fontId="1" fillId="0" borderId="0"/>
  </cellStyleXfs>
  <cellXfs count="49">
    <xf numFmtId="0" fontId="0" fillId="0" borderId="0" xfId="0"/>
    <xf numFmtId="0" fontId="3" fillId="2" borderId="0" xfId="0" applyFont="1" applyFill="1"/>
    <xf numFmtId="0" fontId="1" fillId="2" borderId="0" xfId="0" applyFont="1" applyFill="1"/>
    <xf numFmtId="0" fontId="4" fillId="2" borderId="0" xfId="0" applyFont="1" applyFill="1" applyAlignment="1">
      <alignment horizontal="right"/>
    </xf>
    <xf numFmtId="0" fontId="5" fillId="2" borderId="1" xfId="0" applyFont="1" applyFill="1" applyBorder="1"/>
    <xf numFmtId="0" fontId="1" fillId="0" borderId="0" xfId="0" applyFont="1"/>
    <xf numFmtId="0" fontId="6" fillId="3" borderId="2" xfId="0" applyFont="1" applyFill="1" applyBorder="1" applyAlignment="1">
      <alignment horizontal="center"/>
    </xf>
    <xf numFmtId="0" fontId="6" fillId="3" borderId="2" xfId="0" applyFont="1" applyFill="1" applyBorder="1" applyAlignment="1">
      <alignment horizontal="center" wrapText="1"/>
    </xf>
    <xf numFmtId="0" fontId="7" fillId="0" borderId="3" xfId="0" applyFont="1" applyBorder="1" applyAlignment="1">
      <alignment horizontal="center"/>
    </xf>
    <xf numFmtId="164" fontId="8" fillId="0" borderId="2" xfId="0" applyNumberFormat="1" applyFont="1" applyBorder="1" applyAlignment="1">
      <alignment horizontal="center"/>
    </xf>
    <xf numFmtId="0" fontId="7" fillId="0" borderId="3" xfId="0" applyFont="1" applyBorder="1" applyAlignment="1">
      <alignment horizontal="center" wrapText="1"/>
    </xf>
    <xf numFmtId="0" fontId="9" fillId="0" borderId="0" xfId="0" applyFont="1"/>
    <xf numFmtId="0" fontId="10" fillId="0" borderId="4" xfId="0" applyFont="1" applyBorder="1" applyAlignment="1">
      <alignment horizontal="center"/>
    </xf>
    <xf numFmtId="164" fontId="11" fillId="0" borderId="5" xfId="0" applyNumberFormat="1" applyFont="1" applyBorder="1" applyAlignment="1">
      <alignment horizontal="center"/>
    </xf>
    <xf numFmtId="0" fontId="10" fillId="0" borderId="5" xfId="0" applyFont="1" applyBorder="1" applyAlignment="1">
      <alignment horizontal="center"/>
    </xf>
    <xf numFmtId="0" fontId="10" fillId="0" borderId="0" xfId="0" applyFont="1"/>
    <xf numFmtId="0" fontId="12" fillId="0" borderId="5" xfId="0" applyFont="1" applyBorder="1" applyAlignment="1">
      <alignment horizontal="center" vertical="center" wrapText="1"/>
    </xf>
    <xf numFmtId="164" fontId="13"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2" fillId="0" borderId="0" xfId="0" applyFont="1"/>
    <xf numFmtId="0" fontId="1" fillId="0" borderId="6" xfId="1" applyBorder="1" applyAlignment="1">
      <alignment horizontal="center"/>
    </xf>
    <xf numFmtId="165" fontId="1" fillId="0" borderId="6" xfId="1" applyNumberFormat="1" applyBorder="1" applyAlignment="1">
      <alignment horizontal="center"/>
    </xf>
    <xf numFmtId="15" fontId="1" fillId="0" borderId="6" xfId="1" applyNumberFormat="1" applyBorder="1" applyAlignment="1">
      <alignment horizontal="center"/>
    </xf>
    <xf numFmtId="0" fontId="1" fillId="0" borderId="0" xfId="1"/>
    <xf numFmtId="166" fontId="1" fillId="0" borderId="0" xfId="1" applyNumberFormat="1"/>
    <xf numFmtId="164" fontId="8" fillId="0" borderId="3" xfId="0" applyNumberFormat="1" applyFont="1" applyBorder="1" applyAlignment="1">
      <alignment horizontal="center"/>
    </xf>
    <xf numFmtId="165" fontId="1" fillId="0" borderId="6" xfId="1" applyNumberFormat="1" applyBorder="1" applyAlignment="1" applyProtection="1">
      <alignment horizontal="center"/>
      <protection locked="0"/>
    </xf>
    <xf numFmtId="0" fontId="1" fillId="4" borderId="6" xfId="1" applyFill="1" applyBorder="1" applyAlignment="1" applyProtection="1">
      <alignment horizontal="center"/>
      <protection hidden="1"/>
    </xf>
    <xf numFmtId="0" fontId="1" fillId="0" borderId="6" xfId="1" applyBorder="1" applyProtection="1">
      <protection locked="0"/>
    </xf>
    <xf numFmtId="0" fontId="1" fillId="0" borderId="0" xfId="0" applyFont="1" applyAlignment="1">
      <alignment vertical="top"/>
    </xf>
    <xf numFmtId="0" fontId="14" fillId="5" borderId="6" xfId="0" applyFont="1" applyFill="1" applyBorder="1" applyAlignment="1">
      <alignment horizontal="center" vertical="top"/>
    </xf>
    <xf numFmtId="0" fontId="1" fillId="0" borderId="6" xfId="0" applyFont="1" applyBorder="1" applyAlignment="1">
      <alignment vertical="top"/>
    </xf>
    <xf numFmtId="0" fontId="1" fillId="0" borderId="6" xfId="0" applyFont="1" applyBorder="1" applyAlignment="1">
      <alignment horizontal="left" vertical="top" wrapText="1"/>
    </xf>
    <xf numFmtId="0" fontId="1" fillId="0" borderId="6" xfId="0" applyFont="1" applyBorder="1" applyAlignment="1">
      <alignment vertical="top" wrapText="1"/>
    </xf>
    <xf numFmtId="0" fontId="0" fillId="0" borderId="6" xfId="0" applyBorder="1" applyAlignment="1">
      <alignment vertical="top"/>
    </xf>
    <xf numFmtId="0" fontId="0" fillId="0" borderId="6" xfId="1" applyFont="1" applyBorder="1" applyProtection="1">
      <protection locked="0"/>
    </xf>
    <xf numFmtId="0" fontId="0" fillId="0" borderId="6" xfId="0" applyBorder="1" applyAlignment="1">
      <alignment vertical="top" wrapText="1"/>
    </xf>
    <xf numFmtId="0" fontId="1" fillId="0" borderId="0" xfId="0" applyFont="1" applyAlignment="1" applyProtection="1">
      <alignment vertical="top"/>
      <protection locked="0"/>
    </xf>
    <xf numFmtId="0" fontId="21" fillId="8" borderId="6" xfId="1" applyFont="1" applyFill="1" applyBorder="1" applyAlignment="1" applyProtection="1">
      <alignment horizontal="center"/>
      <protection hidden="1"/>
    </xf>
    <xf numFmtId="0" fontId="10" fillId="0" borderId="6" xfId="1" applyFont="1" applyBorder="1" applyAlignment="1" applyProtection="1">
      <alignment horizontal="center"/>
      <protection hidden="1"/>
    </xf>
    <xf numFmtId="165" fontId="10" fillId="0" borderId="6" xfId="1" applyNumberFormat="1" applyFont="1" applyBorder="1" applyAlignment="1" applyProtection="1">
      <alignment horizontal="center"/>
      <protection hidden="1"/>
    </xf>
    <xf numFmtId="0" fontId="1" fillId="7" borderId="6" xfId="0" applyFont="1" applyFill="1" applyBorder="1" applyAlignment="1" applyProtection="1">
      <alignment horizontal="left" vertical="top"/>
      <protection locked="0" hidden="1"/>
    </xf>
    <xf numFmtId="0" fontId="1" fillId="7" borderId="6" xfId="0" applyFont="1" applyFill="1" applyBorder="1" applyAlignment="1" applyProtection="1">
      <alignment horizontal="left" vertical="top" wrapText="1"/>
      <protection locked="0" hidden="1"/>
    </xf>
    <xf numFmtId="14" fontId="1" fillId="7" borderId="6" xfId="0" applyNumberFormat="1" applyFont="1" applyFill="1" applyBorder="1" applyAlignment="1" applyProtection="1">
      <alignment horizontal="left" vertical="top" wrapText="1"/>
      <protection locked="0" hidden="1"/>
    </xf>
    <xf numFmtId="14" fontId="1" fillId="0" borderId="0" xfId="0" applyNumberFormat="1" applyFont="1" applyAlignment="1">
      <alignment vertical="top"/>
    </xf>
    <xf numFmtId="0" fontId="22" fillId="0" borderId="6" xfId="0" applyFont="1" applyBorder="1" applyAlignment="1" applyProtection="1">
      <alignment horizontal="left" vertical="top"/>
      <protection hidden="1"/>
    </xf>
    <xf numFmtId="0" fontId="22" fillId="0" borderId="6" xfId="0" applyFont="1" applyBorder="1" applyAlignment="1">
      <alignment vertical="top"/>
    </xf>
    <xf numFmtId="0" fontId="9" fillId="6" borderId="7" xfId="0" applyFont="1" applyFill="1" applyBorder="1" applyAlignment="1">
      <alignment horizontal="left" vertical="top" wrapText="1"/>
    </xf>
    <xf numFmtId="0" fontId="9" fillId="6" borderId="0" xfId="0" applyFont="1" applyFill="1" applyAlignment="1">
      <alignment horizontal="left" vertical="top" wrapText="1"/>
    </xf>
  </cellXfs>
  <cellStyles count="2">
    <cellStyle name="Normal" xfId="0" builtinId="0"/>
    <cellStyle name="Normal 5" xfId="1" xr:uid="{00000000-0005-0000-0000-000001000000}"/>
  </cellStyles>
  <dxfs count="6">
    <dxf>
      <font>
        <condense val="0"/>
        <extend val="0"/>
        <color rgb="FF9C0006"/>
      </font>
      <fill>
        <patternFill>
          <bgColor rgb="FFFFC7CE"/>
        </patternFill>
      </fill>
    </dxf>
    <dxf>
      <font>
        <b val="0"/>
        <i val="0"/>
        <color theme="3"/>
      </font>
      <fill>
        <patternFill>
          <bgColor theme="8" tint="0.59996337778862885"/>
        </patternFill>
      </fill>
    </dxf>
    <dxf>
      <font>
        <b/>
        <i/>
        <color rgb="FFFF0000"/>
      </font>
      <fill>
        <patternFill>
          <bgColor rgb="FFFFCCFF"/>
        </patternFill>
      </fill>
    </dxf>
    <dxf>
      <font>
        <b/>
        <i val="0"/>
        <color rgb="FFFF0000"/>
      </font>
    </dxf>
    <dxf>
      <font>
        <b/>
        <i/>
        <color rgb="FFFF0000"/>
      </font>
      <fill>
        <patternFill>
          <bgColor rgb="FFFFCCFF"/>
        </patternFill>
      </fill>
    </dxf>
    <dxf>
      <fill>
        <patternFill>
          <bgColor theme="9"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tint="-0.249977111117893"/>
  </sheetPr>
  <dimension ref="A1:M371"/>
  <sheetViews>
    <sheetView showGridLines="0" tabSelected="1" zoomScale="115" zoomScaleNormal="115" workbookViewId="0">
      <selection activeCell="B6" sqref="B6:B371"/>
    </sheetView>
  </sheetViews>
  <sheetFormatPr baseColWidth="10" defaultColWidth="8.6640625" defaultRowHeight="15" x14ac:dyDescent="0.2"/>
  <cols>
    <col min="1" max="1" width="19.33203125" style="23" customWidth="1"/>
    <col min="2" max="2" width="18.5" style="23" bestFit="1" customWidth="1"/>
    <col min="3" max="3" width="20.1640625" style="23" customWidth="1"/>
    <col min="4" max="4" width="19.6640625" style="24" customWidth="1"/>
    <col min="5" max="5" width="18.1640625" style="23" customWidth="1"/>
    <col min="6" max="6" width="17.6640625" style="23" bestFit="1" customWidth="1"/>
    <col min="7" max="7" width="3.5" style="23" customWidth="1"/>
    <col min="8" max="8" width="9.5" style="23" customWidth="1"/>
    <col min="9" max="9" width="10.5" style="23" customWidth="1"/>
    <col min="10" max="11" width="10.33203125" style="23" customWidth="1"/>
    <col min="12" max="12" width="10.5" style="23" customWidth="1"/>
    <col min="13" max="13" width="3.5" style="23" customWidth="1"/>
    <col min="14" max="16384" width="8.6640625" style="23"/>
  </cols>
  <sheetData>
    <row r="1" spans="1:13" s="5" customFormat="1" ht="26.5" customHeight="1" x14ac:dyDescent="0.25">
      <c r="A1" s="1" t="s">
        <v>0</v>
      </c>
      <c r="B1" s="2"/>
      <c r="C1" s="2"/>
      <c r="D1" s="2"/>
      <c r="E1" s="3" t="s">
        <v>1</v>
      </c>
      <c r="F1" s="4" t="str">
        <f>"CY"&amp;Cycle_Header</f>
        <v>CY2026</v>
      </c>
      <c r="G1"/>
      <c r="H1" s="47" t="s">
        <v>68</v>
      </c>
      <c r="I1" s="47"/>
      <c r="J1" s="47"/>
      <c r="K1" s="47"/>
      <c r="L1" s="47"/>
      <c r="M1" s="47"/>
    </row>
    <row r="2" spans="1:13" s="5" customFormat="1" ht="46.5" customHeight="1" x14ac:dyDescent="0.2">
      <c r="A2" s="6" t="s">
        <v>2</v>
      </c>
      <c r="B2" s="6" t="s">
        <v>3</v>
      </c>
      <c r="C2" s="6" t="s">
        <v>4</v>
      </c>
      <c r="D2" s="6" t="s">
        <v>5</v>
      </c>
      <c r="E2" s="7" t="s">
        <v>6</v>
      </c>
      <c r="F2" s="7" t="s">
        <v>7</v>
      </c>
      <c r="H2" s="48"/>
      <c r="I2" s="48"/>
      <c r="J2" s="48"/>
      <c r="K2" s="48"/>
      <c r="L2" s="48"/>
      <c r="M2" s="48"/>
    </row>
    <row r="3" spans="1:13" s="11" customFormat="1" ht="18.75" customHeight="1" x14ac:dyDescent="0.2">
      <c r="A3" s="8" t="s">
        <v>8</v>
      </c>
      <c r="B3" s="8" t="s">
        <v>8</v>
      </c>
      <c r="C3" s="8" t="s">
        <v>8</v>
      </c>
      <c r="D3" s="9" t="s">
        <v>9</v>
      </c>
      <c r="E3" s="10" t="s">
        <v>10</v>
      </c>
      <c r="F3" s="10" t="s">
        <v>11</v>
      </c>
      <c r="H3" s="48"/>
      <c r="I3" s="48"/>
      <c r="J3" s="48"/>
      <c r="K3" s="48"/>
      <c r="L3" s="48"/>
      <c r="M3" s="48"/>
    </row>
    <row r="4" spans="1:13" s="15" customFormat="1" ht="15" customHeight="1" x14ac:dyDescent="0.15">
      <c r="A4" s="12" t="s">
        <v>12</v>
      </c>
      <c r="B4" s="12" t="s">
        <v>12</v>
      </c>
      <c r="C4" s="12" t="s">
        <v>12</v>
      </c>
      <c r="D4" s="13" t="s">
        <v>13</v>
      </c>
      <c r="E4" s="14" t="s">
        <v>14</v>
      </c>
      <c r="F4" s="14" t="s">
        <v>15</v>
      </c>
      <c r="H4" s="48"/>
      <c r="I4" s="48"/>
      <c r="J4" s="48"/>
      <c r="K4" s="48"/>
      <c r="L4" s="48"/>
      <c r="M4" s="48"/>
    </row>
    <row r="5" spans="1:13" s="19" customFormat="1" ht="35.25" customHeight="1" x14ac:dyDescent="0.15">
      <c r="A5" s="16" t="s">
        <v>41</v>
      </c>
      <c r="B5" s="16" t="s">
        <v>41</v>
      </c>
      <c r="C5" s="16" t="s">
        <v>41</v>
      </c>
      <c r="D5" s="17" t="s">
        <v>41</v>
      </c>
      <c r="E5" s="18" t="s">
        <v>44</v>
      </c>
      <c r="F5" s="18" t="s">
        <v>44</v>
      </c>
      <c r="H5" s="48"/>
      <c r="I5" s="48"/>
      <c r="J5" s="48"/>
      <c r="K5" s="48"/>
      <c r="L5" s="48"/>
      <c r="M5" s="48"/>
    </row>
    <row r="6" spans="1:13" x14ac:dyDescent="0.2">
      <c r="A6" s="20">
        <f t="shared" ref="A6:A69" si="0">IF(Calendar_Type="Calendar-Based",MONTH(D6),INT(((ROW(A1)-1)/(Days_per_Cycle+Number_Of_Weekends)))*1+1)</f>
        <v>1</v>
      </c>
      <c r="B6" s="20">
        <f>IF(A6=A5,B6+1,1)</f>
        <v>1</v>
      </c>
      <c r="C6" s="20">
        <f>WEEKDAY(D6,2)</f>
        <v>4</v>
      </c>
      <c r="D6" s="21">
        <f>Start_Date_of_Year</f>
        <v>46023</v>
      </c>
      <c r="E6" s="22" t="str">
        <f>IF(AND(OR($C6=6,$C6=7),Weekend_As_Holiday="YES",COUNTIF(Holidays!$A$6:$A$58,'Cycle Calendar'!$D6)&gt;0),"H",IF(AND(OR($C6=6,$C6=7),Weekend_As_Holiday="NO",COUNTIF(Holidays!$A$6:$A$58,'Cycle Calendar'!$D6)&gt;0),"W",IF(OR($C6=6,$C6=7),"W",IF(COUNTIF(Holidays!$A$6:$A$58,'Cycle Calendar'!$D6)&gt;0,"H","R"))))</f>
        <v>H</v>
      </c>
      <c r="F6" s="20" t="str">
        <f>E6&amp;C6</f>
        <v>H4</v>
      </c>
      <c r="H6" s="48"/>
      <c r="I6" s="48"/>
      <c r="J6" s="48"/>
      <c r="K6" s="48"/>
      <c r="L6" s="48"/>
      <c r="M6" s="48"/>
    </row>
    <row r="7" spans="1:13" x14ac:dyDescent="0.2">
      <c r="A7" s="20">
        <f t="shared" si="0"/>
        <v>1</v>
      </c>
      <c r="B7" s="20">
        <f t="shared" ref="B7:B70" si="1">IF(A7=A6,B6+1,1)</f>
        <v>2</v>
      </c>
      <c r="C7" s="20">
        <f t="shared" ref="C7:C72" si="2">WEEKDAY(D7,2)</f>
        <v>5</v>
      </c>
      <c r="D7" s="21">
        <f>D6+1</f>
        <v>46024</v>
      </c>
      <c r="E7" s="22" t="str">
        <f>IF(AND(OR($C7=6,$C7=7),Weekend_As_Holiday="YES",COUNTIF(Holidays!$A$6:$A$58,'Cycle Calendar'!$D7)&gt;0),"H",IF(AND(OR($C7=6,$C7=7),Weekend_As_Holiday="NO",COUNTIF(Holidays!$A$6:$A$58,'Cycle Calendar'!$D7)&gt;0),"W",IF(OR($C7=6,$C7=7),"W",IF(COUNTIF(Holidays!$A$6:$A$58,'Cycle Calendar'!$D7)&gt;0,"H","R"))))</f>
        <v>H</v>
      </c>
      <c r="F7" s="20" t="str">
        <f>E7&amp;C7</f>
        <v>H5</v>
      </c>
    </row>
    <row r="8" spans="1:13" x14ac:dyDescent="0.2">
      <c r="A8" s="20">
        <f t="shared" si="0"/>
        <v>1</v>
      </c>
      <c r="B8" s="20">
        <f t="shared" si="1"/>
        <v>3</v>
      </c>
      <c r="C8" s="20">
        <f t="shared" si="2"/>
        <v>6</v>
      </c>
      <c r="D8" s="21">
        <f t="shared" ref="D8:D71" si="3">D7+1</f>
        <v>46025</v>
      </c>
      <c r="E8" s="22" t="str">
        <f>IF(AND(OR($C8=6,$C8=7),Weekend_As_Holiday="YES",COUNTIF(Holidays!$A$6:$A$58,'Cycle Calendar'!$D8)&gt;0),"H",IF(AND(OR($C8=6,$C8=7),Weekend_As_Holiday="NO",COUNTIF(Holidays!$A$6:$A$58,'Cycle Calendar'!$D8)&gt;0),"W",IF(OR($C8=6,$C8=7),"W",IF(COUNTIF(Holidays!$A$6:$A$58,'Cycle Calendar'!$D8)&gt;0,"H","R"))))</f>
        <v>W</v>
      </c>
      <c r="F8" s="20" t="str">
        <f t="shared" ref="F8:F69" si="4">E8&amp;C8</f>
        <v>W6</v>
      </c>
      <c r="H8" s="38" t="s">
        <v>63</v>
      </c>
      <c r="I8" s="38" t="s">
        <v>64</v>
      </c>
      <c r="J8" s="38" t="s">
        <v>65</v>
      </c>
      <c r="K8" s="38" t="s">
        <v>66</v>
      </c>
      <c r="L8" s="38" t="s">
        <v>67</v>
      </c>
    </row>
    <row r="9" spans="1:13" x14ac:dyDescent="0.2">
      <c r="A9" s="20">
        <f t="shared" si="0"/>
        <v>1</v>
      </c>
      <c r="B9" s="20">
        <f t="shared" si="1"/>
        <v>4</v>
      </c>
      <c r="C9" s="20">
        <f t="shared" si="2"/>
        <v>7</v>
      </c>
      <c r="D9" s="21">
        <f t="shared" si="3"/>
        <v>46026</v>
      </c>
      <c r="E9" s="22" t="str">
        <f>IF(AND(OR($C9=6,$C9=7),Weekend_As_Holiday="YES",COUNTIF(Holidays!$A$6:$A$58,'Cycle Calendar'!$D9)&gt;0),"H",IF(AND(OR($C9=6,$C9=7),Weekend_As_Holiday="NO",COUNTIF(Holidays!$A$6:$A$58,'Cycle Calendar'!$D9)&gt;0),"W",IF(OR($C9=6,$C9=7),"W",IF(COUNTIF(Holidays!$A$6:$A$58,'Cycle Calendar'!$D9)&gt;0,"H","R"))))</f>
        <v>W</v>
      </c>
      <c r="F9" s="20" t="str">
        <f t="shared" si="4"/>
        <v>W7</v>
      </c>
      <c r="H9" s="39" t="s">
        <v>50</v>
      </c>
      <c r="I9" s="39">
        <f t="shared" ref="I9:I22" si="5">COUNTIFS($D$6:$D$505,"&gt;="&amp;Start_Date_of_Year,$D$6:$D$505,"&lt;="&amp;End_Date_of_Year,$A$6:$A$505,SUBSTITUTE(H9,"CYCLE ",""))</f>
        <v>32</v>
      </c>
      <c r="J9" s="40">
        <f>D6</f>
        <v>46023</v>
      </c>
      <c r="K9" s="40">
        <f>J9+I9-1</f>
        <v>46054</v>
      </c>
      <c r="L9" s="39">
        <f>COUNTIFS(Holidays!$A$6:$A$58,"&gt;="&amp;'Cycle Calendar'!J9,Holidays!$A$6:$A$58,"&lt;="&amp;'Cycle Calendar'!K9)</f>
        <v>2</v>
      </c>
    </row>
    <row r="10" spans="1:13" x14ac:dyDescent="0.2">
      <c r="A10" s="20">
        <f t="shared" si="0"/>
        <v>1</v>
      </c>
      <c r="B10" s="20">
        <f t="shared" si="1"/>
        <v>5</v>
      </c>
      <c r="C10" s="20">
        <f t="shared" si="2"/>
        <v>1</v>
      </c>
      <c r="D10" s="21">
        <f t="shared" si="3"/>
        <v>46027</v>
      </c>
      <c r="E10" s="22" t="str">
        <f>IF(AND(OR($C10=6,$C10=7),Weekend_As_Holiday="YES",COUNTIF(Holidays!$A$6:$A$58,'Cycle Calendar'!$D10)&gt;0),"H",IF(AND(OR($C10=6,$C10=7),Weekend_As_Holiday="NO",COUNTIF(Holidays!$A$6:$A$58,'Cycle Calendar'!$D10)&gt;0),"W",IF(OR($C10=6,$C10=7),"W",IF(COUNTIF(Holidays!$A$6:$A$58,'Cycle Calendar'!$D10)&gt;0,"H","R"))))</f>
        <v>R</v>
      </c>
      <c r="F10" s="20" t="str">
        <f t="shared" si="4"/>
        <v>R1</v>
      </c>
      <c r="H10" s="39" t="s">
        <v>51</v>
      </c>
      <c r="I10" s="39">
        <f t="shared" si="5"/>
        <v>35</v>
      </c>
      <c r="J10" s="40">
        <f>J9+I9</f>
        <v>46055</v>
      </c>
      <c r="K10" s="40">
        <f t="shared" ref="K10:K20" si="6">J10+I10-1</f>
        <v>46089</v>
      </c>
      <c r="L10" s="39">
        <f>COUNTIFS(Holidays!$A$6:$A$58,"&gt;="&amp;'Cycle Calendar'!J10,Holidays!$A$6:$A$58,"&lt;="&amp;'Cycle Calendar'!K10)</f>
        <v>6</v>
      </c>
    </row>
    <row r="11" spans="1:13" x14ac:dyDescent="0.2">
      <c r="A11" s="20">
        <f t="shared" si="0"/>
        <v>1</v>
      </c>
      <c r="B11" s="20">
        <f t="shared" si="1"/>
        <v>6</v>
      </c>
      <c r="C11" s="20">
        <f t="shared" si="2"/>
        <v>2</v>
      </c>
      <c r="D11" s="21">
        <f t="shared" si="3"/>
        <v>46028</v>
      </c>
      <c r="E11" s="22" t="str">
        <f>IF(AND(OR($C11=6,$C11=7),Weekend_As_Holiday="YES",COUNTIF(Holidays!$A$6:$A$58,'Cycle Calendar'!$D11)&gt;0),"H",IF(AND(OR($C11=6,$C11=7),Weekend_As_Holiday="NO",COUNTIF(Holidays!$A$6:$A$58,'Cycle Calendar'!$D11)&gt;0),"W",IF(OR($C11=6,$C11=7),"W",IF(COUNTIF(Holidays!$A$6:$A$58,'Cycle Calendar'!$D11)&gt;0,"H","R"))))</f>
        <v>R</v>
      </c>
      <c r="F11" s="20" t="str">
        <f t="shared" si="4"/>
        <v>R2</v>
      </c>
      <c r="H11" s="39" t="s">
        <v>52</v>
      </c>
      <c r="I11" s="39">
        <f t="shared" si="5"/>
        <v>35</v>
      </c>
      <c r="J11" s="40">
        <f>J10+I10</f>
        <v>46090</v>
      </c>
      <c r="K11" s="40">
        <f t="shared" si="6"/>
        <v>46124</v>
      </c>
      <c r="L11" s="39">
        <f>COUNTIFS(Holidays!$A$6:$A$58,"&gt;="&amp;'Cycle Calendar'!J11,Holidays!$A$6:$A$58,"&lt;="&amp;'Cycle Calendar'!K11)</f>
        <v>6</v>
      </c>
    </row>
    <row r="12" spans="1:13" x14ac:dyDescent="0.2">
      <c r="A12" s="20">
        <f t="shared" si="0"/>
        <v>1</v>
      </c>
      <c r="B12" s="20">
        <f t="shared" si="1"/>
        <v>7</v>
      </c>
      <c r="C12" s="20">
        <f t="shared" si="2"/>
        <v>3</v>
      </c>
      <c r="D12" s="21">
        <f t="shared" si="3"/>
        <v>46029</v>
      </c>
      <c r="E12" s="22" t="str">
        <f>IF(AND(OR($C12=6,$C12=7),Weekend_As_Holiday="YES",COUNTIF(Holidays!$A$6:$A$58,'Cycle Calendar'!$D12)&gt;0),"H",IF(AND(OR($C12=6,$C12=7),Weekend_As_Holiday="NO",COUNTIF(Holidays!$A$6:$A$58,'Cycle Calendar'!$D12)&gt;0),"W",IF(OR($C12=6,$C12=7),"W",IF(COUNTIF(Holidays!$A$6:$A$58,'Cycle Calendar'!$D12)&gt;0,"H","R"))))</f>
        <v>R</v>
      </c>
      <c r="F12" s="20" t="str">
        <f t="shared" si="4"/>
        <v>R3</v>
      </c>
      <c r="H12" s="39" t="s">
        <v>53</v>
      </c>
      <c r="I12" s="39">
        <f t="shared" si="5"/>
        <v>28</v>
      </c>
      <c r="J12" s="40">
        <f>J11+I11</f>
        <v>46125</v>
      </c>
      <c r="K12" s="40">
        <f t="shared" si="6"/>
        <v>46152</v>
      </c>
      <c r="L12" s="39">
        <f>COUNTIFS(Holidays!$A$6:$A$58,"&gt;="&amp;'Cycle Calendar'!J12,Holidays!$A$6:$A$58,"&lt;="&amp;'Cycle Calendar'!K12)</f>
        <v>1</v>
      </c>
    </row>
    <row r="13" spans="1:13" x14ac:dyDescent="0.2">
      <c r="A13" s="20">
        <f t="shared" si="0"/>
        <v>1</v>
      </c>
      <c r="B13" s="20">
        <f t="shared" si="1"/>
        <v>8</v>
      </c>
      <c r="C13" s="20">
        <f t="shared" si="2"/>
        <v>4</v>
      </c>
      <c r="D13" s="21">
        <f t="shared" si="3"/>
        <v>46030</v>
      </c>
      <c r="E13" s="22" t="str">
        <f>IF(AND(OR($C13=6,$C13=7),Weekend_As_Holiday="YES",COUNTIF(Holidays!$A$6:$A$58,'Cycle Calendar'!$D13)&gt;0),"H",IF(AND(OR($C13=6,$C13=7),Weekend_As_Holiday="NO",COUNTIF(Holidays!$A$6:$A$58,'Cycle Calendar'!$D13)&gt;0),"W",IF(OR($C13=6,$C13=7),"W",IF(COUNTIF(Holidays!$A$6:$A$58,'Cycle Calendar'!$D13)&gt;0,"H","R"))))</f>
        <v>R</v>
      </c>
      <c r="F13" s="20" t="str">
        <f t="shared" si="4"/>
        <v>R4</v>
      </c>
      <c r="H13" s="39" t="s">
        <v>54</v>
      </c>
      <c r="I13" s="39">
        <f t="shared" si="5"/>
        <v>28</v>
      </c>
      <c r="J13" s="40">
        <f t="shared" ref="J13:J20" si="7">J12+I12</f>
        <v>46153</v>
      </c>
      <c r="K13" s="40">
        <f t="shared" si="6"/>
        <v>46180</v>
      </c>
      <c r="L13" s="39">
        <f>COUNTIFS(Holidays!$A$6:$A$58,"&gt;="&amp;'Cycle Calendar'!J13,Holidays!$A$6:$A$58,"&lt;="&amp;'Cycle Calendar'!K13)</f>
        <v>0</v>
      </c>
    </row>
    <row r="14" spans="1:13" x14ac:dyDescent="0.2">
      <c r="A14" s="20">
        <f t="shared" si="0"/>
        <v>1</v>
      </c>
      <c r="B14" s="20">
        <f t="shared" si="1"/>
        <v>9</v>
      </c>
      <c r="C14" s="20">
        <f t="shared" si="2"/>
        <v>5</v>
      </c>
      <c r="D14" s="21">
        <f t="shared" si="3"/>
        <v>46031</v>
      </c>
      <c r="E14" s="22" t="str">
        <f>IF(AND(OR($C14=6,$C14=7),Weekend_As_Holiday="YES",COUNTIF(Holidays!$A$6:$A$58,'Cycle Calendar'!$D14)&gt;0),"H",IF(AND(OR($C14=6,$C14=7),Weekend_As_Holiday="NO",COUNTIF(Holidays!$A$6:$A$58,'Cycle Calendar'!$D14)&gt;0),"W",IF(OR($C14=6,$C14=7),"W",IF(COUNTIF(Holidays!$A$6:$A$58,'Cycle Calendar'!$D14)&gt;0,"H","R"))))</f>
        <v>R</v>
      </c>
      <c r="F14" s="20" t="str">
        <f t="shared" si="4"/>
        <v>R5</v>
      </c>
      <c r="H14" s="39" t="s">
        <v>55</v>
      </c>
      <c r="I14" s="39">
        <f t="shared" si="5"/>
        <v>35</v>
      </c>
      <c r="J14" s="40">
        <f t="shared" si="7"/>
        <v>46181</v>
      </c>
      <c r="K14" s="40">
        <f t="shared" si="6"/>
        <v>46215</v>
      </c>
      <c r="L14" s="39">
        <f>COUNTIFS(Holidays!$A$6:$A$58,"&gt;="&amp;'Cycle Calendar'!J14,Holidays!$A$6:$A$58,"&lt;="&amp;'Cycle Calendar'!K14)</f>
        <v>6</v>
      </c>
    </row>
    <row r="15" spans="1:13" x14ac:dyDescent="0.2">
      <c r="A15" s="20">
        <f t="shared" si="0"/>
        <v>1</v>
      </c>
      <c r="B15" s="20">
        <f t="shared" si="1"/>
        <v>10</v>
      </c>
      <c r="C15" s="20">
        <f t="shared" si="2"/>
        <v>6</v>
      </c>
      <c r="D15" s="21">
        <f t="shared" si="3"/>
        <v>46032</v>
      </c>
      <c r="E15" s="22" t="str">
        <f>IF(AND(OR($C15=6,$C15=7),Weekend_As_Holiday="YES",COUNTIF(Holidays!$A$6:$A$58,'Cycle Calendar'!$D15)&gt;0),"H",IF(AND(OR($C15=6,$C15=7),Weekend_As_Holiday="NO",COUNTIF(Holidays!$A$6:$A$58,'Cycle Calendar'!$D15)&gt;0),"W",IF(OR($C15=6,$C15=7),"W",IF(COUNTIF(Holidays!$A$6:$A$58,'Cycle Calendar'!$D15)&gt;0,"H","R"))))</f>
        <v>W</v>
      </c>
      <c r="F15" s="20" t="str">
        <f t="shared" si="4"/>
        <v>W6</v>
      </c>
      <c r="H15" s="39" t="s">
        <v>56</v>
      </c>
      <c r="I15" s="39">
        <f t="shared" si="5"/>
        <v>28</v>
      </c>
      <c r="J15" s="40">
        <f t="shared" si="7"/>
        <v>46216</v>
      </c>
      <c r="K15" s="40">
        <f t="shared" si="6"/>
        <v>46243</v>
      </c>
      <c r="L15" s="39">
        <f>COUNTIFS(Holidays!$A$6:$A$58,"&gt;="&amp;'Cycle Calendar'!J15,Holidays!$A$6:$A$58,"&lt;="&amp;'Cycle Calendar'!K15)</f>
        <v>0</v>
      </c>
    </row>
    <row r="16" spans="1:13" x14ac:dyDescent="0.2">
      <c r="A16" s="20">
        <f t="shared" si="0"/>
        <v>1</v>
      </c>
      <c r="B16" s="20">
        <f t="shared" si="1"/>
        <v>11</v>
      </c>
      <c r="C16" s="20">
        <f t="shared" si="2"/>
        <v>7</v>
      </c>
      <c r="D16" s="21">
        <f t="shared" si="3"/>
        <v>46033</v>
      </c>
      <c r="E16" s="22" t="str">
        <f>IF(AND(OR($C16=6,$C16=7),Weekend_As_Holiday="YES",COUNTIF(Holidays!$A$6:$A$58,'Cycle Calendar'!$D16)&gt;0),"H",IF(AND(OR($C16=6,$C16=7),Weekend_As_Holiday="NO",COUNTIF(Holidays!$A$6:$A$58,'Cycle Calendar'!$D16)&gt;0),"W",IF(OR($C16=6,$C16=7),"W",IF(COUNTIF(Holidays!$A$6:$A$58,'Cycle Calendar'!$D16)&gt;0,"H","R"))))</f>
        <v>W</v>
      </c>
      <c r="F16" s="20" t="str">
        <f t="shared" si="4"/>
        <v>W7</v>
      </c>
      <c r="H16" s="39" t="s">
        <v>57</v>
      </c>
      <c r="I16" s="39">
        <f t="shared" si="5"/>
        <v>28</v>
      </c>
      <c r="J16" s="40">
        <f t="shared" si="7"/>
        <v>46244</v>
      </c>
      <c r="K16" s="40">
        <f t="shared" si="6"/>
        <v>46271</v>
      </c>
      <c r="L16" s="39">
        <f>COUNTIFS(Holidays!$A$6:$A$58,"&gt;="&amp;'Cycle Calendar'!J16,Holidays!$A$6:$A$58,"&lt;="&amp;'Cycle Calendar'!K16)</f>
        <v>2</v>
      </c>
    </row>
    <row r="17" spans="1:12" x14ac:dyDescent="0.2">
      <c r="A17" s="20">
        <f t="shared" si="0"/>
        <v>1</v>
      </c>
      <c r="B17" s="20">
        <f t="shared" si="1"/>
        <v>12</v>
      </c>
      <c r="C17" s="20">
        <f t="shared" si="2"/>
        <v>1</v>
      </c>
      <c r="D17" s="21">
        <f t="shared" si="3"/>
        <v>46034</v>
      </c>
      <c r="E17" s="22" t="str">
        <f>IF(AND(OR($C17=6,$C17=7),Weekend_As_Holiday="YES",COUNTIF(Holidays!$A$6:$A$58,'Cycle Calendar'!$D17)&gt;0),"H",IF(AND(OR($C17=6,$C17=7),Weekend_As_Holiday="NO",COUNTIF(Holidays!$A$6:$A$58,'Cycle Calendar'!$D17)&gt;0),"W",IF(OR($C17=6,$C17=7),"W",IF(COUNTIF(Holidays!$A$6:$A$58,'Cycle Calendar'!$D17)&gt;0,"H","R"))))</f>
        <v>R</v>
      </c>
      <c r="F17" s="20" t="str">
        <f t="shared" si="4"/>
        <v>R1</v>
      </c>
      <c r="H17" s="39" t="s">
        <v>58</v>
      </c>
      <c r="I17" s="39">
        <f t="shared" si="5"/>
        <v>28</v>
      </c>
      <c r="J17" s="40">
        <f t="shared" si="7"/>
        <v>46272</v>
      </c>
      <c r="K17" s="40">
        <f t="shared" si="6"/>
        <v>46299</v>
      </c>
      <c r="L17" s="39">
        <f>COUNTIFS(Holidays!$A$6:$A$58,"&gt;="&amp;'Cycle Calendar'!J17,Holidays!$A$6:$A$58,"&lt;="&amp;'Cycle Calendar'!K17)</f>
        <v>0</v>
      </c>
    </row>
    <row r="18" spans="1:12" x14ac:dyDescent="0.2">
      <c r="A18" s="20">
        <f t="shared" si="0"/>
        <v>1</v>
      </c>
      <c r="B18" s="20">
        <f t="shared" si="1"/>
        <v>13</v>
      </c>
      <c r="C18" s="20">
        <f>WEEKDAY(D18,2)</f>
        <v>2</v>
      </c>
      <c r="D18" s="21">
        <f>D17+1</f>
        <v>46035</v>
      </c>
      <c r="E18" s="22" t="str">
        <f>IF(AND(OR($C18=6,$C18=7),Weekend_As_Holiday="YES",COUNTIF(Holidays!$A$6:$A$58,'Cycle Calendar'!$D18)&gt;0),"H",IF(AND(OR($C18=6,$C18=7),Weekend_As_Holiday="NO",COUNTIF(Holidays!$A$6:$A$58,'Cycle Calendar'!$D18)&gt;0),"W",IF(OR($C18=6,$C18=7),"W",IF(COUNTIF(Holidays!$A$6:$A$58,'Cycle Calendar'!$D18)&gt;0,"H","R"))))</f>
        <v>R</v>
      </c>
      <c r="F18" s="20" t="str">
        <f t="shared" si="4"/>
        <v>R2</v>
      </c>
      <c r="H18" s="39" t="s">
        <v>59</v>
      </c>
      <c r="I18" s="39">
        <f t="shared" si="5"/>
        <v>28</v>
      </c>
      <c r="J18" s="40">
        <f t="shared" si="7"/>
        <v>46300</v>
      </c>
      <c r="K18" s="40">
        <f t="shared" si="6"/>
        <v>46327</v>
      </c>
      <c r="L18" s="39">
        <f>COUNTIFS(Holidays!$A$6:$A$58,"&gt;="&amp;'Cycle Calendar'!J18,Holidays!$A$6:$A$58,"&lt;="&amp;'Cycle Calendar'!K18)</f>
        <v>1</v>
      </c>
    </row>
    <row r="19" spans="1:12" x14ac:dyDescent="0.2">
      <c r="A19" s="20">
        <f t="shared" si="0"/>
        <v>1</v>
      </c>
      <c r="B19" s="20">
        <f>IF(A19=A18,B18+1,1)</f>
        <v>14</v>
      </c>
      <c r="C19" s="20">
        <f t="shared" si="2"/>
        <v>3</v>
      </c>
      <c r="D19" s="21">
        <f t="shared" si="3"/>
        <v>46036</v>
      </c>
      <c r="E19" s="22" t="str">
        <f>IF(AND(OR($C19=6,$C19=7),Weekend_As_Holiday="YES",COUNTIF(Holidays!$A$6:$A$58,'Cycle Calendar'!$D19)&gt;0),"H",IF(AND(OR($C19=6,$C19=7),Weekend_As_Holiday="NO",COUNTIF(Holidays!$A$6:$A$58,'Cycle Calendar'!$D19)&gt;0),"W",IF(OR($C19=6,$C19=7),"W",IF(COUNTIF(Holidays!$A$6:$A$58,'Cycle Calendar'!$D19)&gt;0,"H","R"))))</f>
        <v>R</v>
      </c>
      <c r="F19" s="20" t="str">
        <f t="shared" si="4"/>
        <v>R3</v>
      </c>
      <c r="H19" s="39" t="s">
        <v>60</v>
      </c>
      <c r="I19" s="39">
        <f t="shared" si="5"/>
        <v>28</v>
      </c>
      <c r="J19" s="40">
        <f t="shared" si="7"/>
        <v>46328</v>
      </c>
      <c r="K19" s="40">
        <f t="shared" si="6"/>
        <v>46355</v>
      </c>
      <c r="L19" s="39">
        <f>COUNTIFS(Holidays!$A$6:$A$58,"&gt;="&amp;'Cycle Calendar'!J19,Holidays!$A$6:$A$58,"&lt;="&amp;'Cycle Calendar'!K19)</f>
        <v>0</v>
      </c>
    </row>
    <row r="20" spans="1:12" x14ac:dyDescent="0.2">
      <c r="A20" s="20">
        <f t="shared" si="0"/>
        <v>1</v>
      </c>
      <c r="B20" s="20">
        <f t="shared" si="1"/>
        <v>15</v>
      </c>
      <c r="C20" s="20">
        <f t="shared" si="2"/>
        <v>4</v>
      </c>
      <c r="D20" s="21">
        <f t="shared" si="3"/>
        <v>46037</v>
      </c>
      <c r="E20" s="22" t="str">
        <f>IF(AND(OR($C20=6,$C20=7),Weekend_As_Holiday="YES",COUNTIF(Holidays!$A$6:$A$58,'Cycle Calendar'!$D20)&gt;0),"H",IF(AND(OR($C20=6,$C20=7),Weekend_As_Holiday="NO",COUNTIF(Holidays!$A$6:$A$58,'Cycle Calendar'!$D20)&gt;0),"W",IF(OR($C20=6,$C20=7),"W",IF(COUNTIF(Holidays!$A$6:$A$58,'Cycle Calendar'!$D20)&gt;0,"H","R"))))</f>
        <v>R</v>
      </c>
      <c r="F20" s="20" t="str">
        <f t="shared" si="4"/>
        <v>R4</v>
      </c>
      <c r="H20" s="39" t="s">
        <v>61</v>
      </c>
      <c r="I20" s="39">
        <f t="shared" si="5"/>
        <v>32</v>
      </c>
      <c r="J20" s="40">
        <f t="shared" si="7"/>
        <v>46356</v>
      </c>
      <c r="K20" s="40">
        <f t="shared" si="6"/>
        <v>46387</v>
      </c>
      <c r="L20" s="39">
        <f>COUNTIFS(Holidays!$A$6:$A$58,"&gt;="&amp;'Cycle Calendar'!J20,Holidays!$A$6:$A$58,"&lt;="&amp;'Cycle Calendar'!K20)</f>
        <v>14</v>
      </c>
    </row>
    <row r="21" spans="1:12" x14ac:dyDescent="0.2">
      <c r="A21" s="20">
        <f t="shared" si="0"/>
        <v>1</v>
      </c>
      <c r="B21" s="20">
        <f t="shared" si="1"/>
        <v>16</v>
      </c>
      <c r="C21" s="20">
        <f t="shared" si="2"/>
        <v>5</v>
      </c>
      <c r="D21" s="21">
        <f t="shared" si="3"/>
        <v>46038</v>
      </c>
      <c r="E21" s="22" t="str">
        <f>IF(AND(OR($C21=6,$C21=7),Weekend_As_Holiday="YES",COUNTIF(Holidays!$A$6:$A$58,'Cycle Calendar'!$D21)&gt;0),"H",IF(AND(OR($C21=6,$C21=7),Weekend_As_Holiday="NO",COUNTIF(Holidays!$A$6:$A$58,'Cycle Calendar'!$D21)&gt;0),"W",IF(OR($C21=6,$C21=7),"W",IF(COUNTIF(Holidays!$A$6:$A$58,'Cycle Calendar'!$D21)&gt;0,"H","R"))))</f>
        <v>R</v>
      </c>
      <c r="F21" s="20" t="str">
        <f t="shared" si="4"/>
        <v>R5</v>
      </c>
      <c r="H21" s="39" t="str">
        <f>IF(Calendar_Type="Cycle-Based","CYCLE 13","CYCLE 1")</f>
        <v>CYCLE 1</v>
      </c>
      <c r="I21" s="39">
        <f t="shared" si="5"/>
        <v>32</v>
      </c>
      <c r="J21" s="40">
        <f>IF(I21=0,"",J20+I20)</f>
        <v>46388</v>
      </c>
      <c r="K21" s="40">
        <f>IF(I21=0,"",J21+I21-1)</f>
        <v>46419</v>
      </c>
      <c r="L21" s="39">
        <f>COUNTIFS(Holidays!$A$6:$A$58,"&gt;="&amp;'Cycle Calendar'!J21,Holidays!$A$6:$A$58,"&lt;="&amp;'Cycle Calendar'!K21)</f>
        <v>0</v>
      </c>
    </row>
    <row r="22" spans="1:12" x14ac:dyDescent="0.2">
      <c r="A22" s="20">
        <f t="shared" si="0"/>
        <v>1</v>
      </c>
      <c r="B22" s="20">
        <f t="shared" si="1"/>
        <v>17</v>
      </c>
      <c r="C22" s="20">
        <f t="shared" si="2"/>
        <v>6</v>
      </c>
      <c r="D22" s="21">
        <f t="shared" si="3"/>
        <v>46039</v>
      </c>
      <c r="E22" s="22" t="str">
        <f>IF(AND(OR($C22=6,$C22=7),Weekend_As_Holiday="YES",COUNTIF(Holidays!$A$6:$A$58,'Cycle Calendar'!$D22)&gt;0),"H",IF(AND(OR($C22=6,$C22=7),Weekend_As_Holiday="NO",COUNTIF(Holidays!$A$6:$A$58,'Cycle Calendar'!$D22)&gt;0),"W",IF(OR($C22=6,$C22=7),"W",IF(COUNTIF(Holidays!$A$6:$A$58,'Cycle Calendar'!$D22)&gt;0,"H","R"))))</f>
        <v>W</v>
      </c>
      <c r="F22" s="20" t="str">
        <f t="shared" si="4"/>
        <v>W6</v>
      </c>
      <c r="H22" s="39" t="str">
        <f>IF(Calendar_Type="Cycle-Based","CYCLE 14","CYCLE 2")</f>
        <v>CYCLE 2</v>
      </c>
      <c r="I22" s="39">
        <f t="shared" si="5"/>
        <v>35</v>
      </c>
      <c r="J22" s="40">
        <f>IFERROR(IF(I22=0,"",J21+I21),"")</f>
        <v>46420</v>
      </c>
      <c r="K22" s="40">
        <f>IFERROR(IF(I22=0,"",J22+I22-1),"")</f>
        <v>46454</v>
      </c>
      <c r="L22" s="39">
        <f>COUNTIFS(Holidays!$A$6:$A$58,"&gt;="&amp;'Cycle Calendar'!J22,Holidays!$A$6:$A$58,"&lt;="&amp;'Cycle Calendar'!K22)</f>
        <v>0</v>
      </c>
    </row>
    <row r="23" spans="1:12" x14ac:dyDescent="0.2">
      <c r="A23" s="20">
        <f t="shared" si="0"/>
        <v>1</v>
      </c>
      <c r="B23" s="20">
        <f t="shared" si="1"/>
        <v>18</v>
      </c>
      <c r="C23" s="20">
        <f t="shared" si="2"/>
        <v>7</v>
      </c>
      <c r="D23" s="21">
        <f t="shared" si="3"/>
        <v>46040</v>
      </c>
      <c r="E23" s="22" t="str">
        <f>IF(AND(OR($C23=6,$C23=7),Weekend_As_Holiday="YES",COUNTIF(Holidays!$A$6:$A$58,'Cycle Calendar'!$D23)&gt;0),"H",IF(AND(OR($C23=6,$C23=7),Weekend_As_Holiday="NO",COUNTIF(Holidays!$A$6:$A$58,'Cycle Calendar'!$D23)&gt;0),"W",IF(OR($C23=6,$C23=7),"W",IF(COUNTIF(Holidays!$A$6:$A$58,'Cycle Calendar'!$D23)&gt;0,"H","R"))))</f>
        <v>W</v>
      </c>
      <c r="F23" s="20" t="str">
        <f t="shared" si="4"/>
        <v>W7</v>
      </c>
    </row>
    <row r="24" spans="1:12" x14ac:dyDescent="0.2">
      <c r="A24" s="20">
        <f t="shared" si="0"/>
        <v>1</v>
      </c>
      <c r="B24" s="20">
        <f t="shared" si="1"/>
        <v>19</v>
      </c>
      <c r="C24" s="20">
        <f t="shared" si="2"/>
        <v>1</v>
      </c>
      <c r="D24" s="21">
        <f t="shared" si="3"/>
        <v>46041</v>
      </c>
      <c r="E24" s="22" t="str">
        <f>IF(AND(OR($C24=6,$C24=7),Weekend_As_Holiday="YES",COUNTIF(Holidays!$A$6:$A$58,'Cycle Calendar'!$D24)&gt;0),"H",IF(AND(OR($C24=6,$C24=7),Weekend_As_Holiday="NO",COUNTIF(Holidays!$A$6:$A$58,'Cycle Calendar'!$D24)&gt;0),"W",IF(OR($C24=6,$C24=7),"W",IF(COUNTIF(Holidays!$A$6:$A$58,'Cycle Calendar'!$D24)&gt;0,"H","R"))))</f>
        <v>R</v>
      </c>
      <c r="F24" s="20" t="str">
        <f t="shared" si="4"/>
        <v>R1</v>
      </c>
    </row>
    <row r="25" spans="1:12" x14ac:dyDescent="0.2">
      <c r="A25" s="20">
        <f t="shared" si="0"/>
        <v>1</v>
      </c>
      <c r="B25" s="20">
        <f t="shared" si="1"/>
        <v>20</v>
      </c>
      <c r="C25" s="20">
        <f t="shared" si="2"/>
        <v>2</v>
      </c>
      <c r="D25" s="21">
        <f t="shared" si="3"/>
        <v>46042</v>
      </c>
      <c r="E25" s="22" t="str">
        <f>IF(AND(OR($C25=6,$C25=7),Weekend_As_Holiday="YES",COUNTIF(Holidays!$A$6:$A$58,'Cycle Calendar'!$D25)&gt;0),"H",IF(AND(OR($C25=6,$C25=7),Weekend_As_Holiday="NO",COUNTIF(Holidays!$A$6:$A$58,'Cycle Calendar'!$D25)&gt;0),"W",IF(OR($C25=6,$C25=7),"W",IF(COUNTIF(Holidays!$A$6:$A$58,'Cycle Calendar'!$D25)&gt;0,"H","R"))))</f>
        <v>R</v>
      </c>
      <c r="F25" s="20" t="str">
        <f t="shared" si="4"/>
        <v>R2</v>
      </c>
    </row>
    <row r="26" spans="1:12" x14ac:dyDescent="0.2">
      <c r="A26" s="20">
        <f t="shared" si="0"/>
        <v>1</v>
      </c>
      <c r="B26" s="20">
        <f t="shared" si="1"/>
        <v>21</v>
      </c>
      <c r="C26" s="20">
        <f t="shared" si="2"/>
        <v>3</v>
      </c>
      <c r="D26" s="21">
        <f t="shared" si="3"/>
        <v>46043</v>
      </c>
      <c r="E26" s="22" t="str">
        <f>IF(AND(OR($C26=6,$C26=7),Weekend_As_Holiday="YES",COUNTIF(Holidays!$A$6:$A$58,'Cycle Calendar'!$D26)&gt;0),"H",IF(AND(OR($C26=6,$C26=7),Weekend_As_Holiday="NO",COUNTIF(Holidays!$A$6:$A$58,'Cycle Calendar'!$D26)&gt;0),"W",IF(OR($C26=6,$C26=7),"W",IF(COUNTIF(Holidays!$A$6:$A$58,'Cycle Calendar'!$D26)&gt;0,"H","R"))))</f>
        <v>R</v>
      </c>
      <c r="F26" s="20" t="str">
        <f t="shared" si="4"/>
        <v>R3</v>
      </c>
    </row>
    <row r="27" spans="1:12" x14ac:dyDescent="0.2">
      <c r="A27" s="20">
        <f t="shared" si="0"/>
        <v>1</v>
      </c>
      <c r="B27" s="20">
        <f t="shared" si="1"/>
        <v>22</v>
      </c>
      <c r="C27" s="20">
        <f t="shared" si="2"/>
        <v>4</v>
      </c>
      <c r="D27" s="21">
        <f t="shared" si="3"/>
        <v>46044</v>
      </c>
      <c r="E27" s="22" t="str">
        <f>IF(AND(OR($C27=6,$C27=7),Weekend_As_Holiday="YES",COUNTIF(Holidays!$A$6:$A$58,'Cycle Calendar'!$D27)&gt;0),"H",IF(AND(OR($C27=6,$C27=7),Weekend_As_Holiday="NO",COUNTIF(Holidays!$A$6:$A$58,'Cycle Calendar'!$D27)&gt;0),"W",IF(OR($C27=6,$C27=7),"W",IF(COUNTIF(Holidays!$A$6:$A$58,'Cycle Calendar'!$D27)&gt;0,"H","R"))))</f>
        <v>R</v>
      </c>
      <c r="F27" s="20" t="str">
        <f t="shared" si="4"/>
        <v>R4</v>
      </c>
    </row>
    <row r="28" spans="1:12" x14ac:dyDescent="0.2">
      <c r="A28" s="20">
        <f t="shared" si="0"/>
        <v>1</v>
      </c>
      <c r="B28" s="20">
        <f t="shared" si="1"/>
        <v>23</v>
      </c>
      <c r="C28" s="20">
        <f t="shared" si="2"/>
        <v>5</v>
      </c>
      <c r="D28" s="21">
        <f t="shared" si="3"/>
        <v>46045</v>
      </c>
      <c r="E28" s="22" t="str">
        <f>IF(AND(OR($C28=6,$C28=7),Weekend_As_Holiday="YES",COUNTIF(Holidays!$A$6:$A$58,'Cycle Calendar'!$D28)&gt;0),"H",IF(AND(OR($C28=6,$C28=7),Weekend_As_Holiday="NO",COUNTIF(Holidays!$A$6:$A$58,'Cycle Calendar'!$D28)&gt;0),"W",IF(OR($C28=6,$C28=7),"W",IF(COUNTIF(Holidays!$A$6:$A$58,'Cycle Calendar'!$D28)&gt;0,"H","R"))))</f>
        <v>R</v>
      </c>
      <c r="F28" s="20" t="str">
        <f t="shared" si="4"/>
        <v>R5</v>
      </c>
    </row>
    <row r="29" spans="1:12" x14ac:dyDescent="0.2">
      <c r="A29" s="20">
        <f t="shared" si="0"/>
        <v>1</v>
      </c>
      <c r="B29" s="20">
        <f t="shared" si="1"/>
        <v>24</v>
      </c>
      <c r="C29" s="20">
        <f t="shared" si="2"/>
        <v>6</v>
      </c>
      <c r="D29" s="21">
        <f t="shared" si="3"/>
        <v>46046</v>
      </c>
      <c r="E29" s="22" t="str">
        <f>IF(AND(OR($C29=6,$C29=7),Weekend_As_Holiday="YES",COUNTIF(Holidays!$A$6:$A$58,'Cycle Calendar'!$D29)&gt;0),"H",IF(AND(OR($C29=6,$C29=7),Weekend_As_Holiday="NO",COUNTIF(Holidays!$A$6:$A$58,'Cycle Calendar'!$D29)&gt;0),"W",IF(OR($C29=6,$C29=7),"W",IF(COUNTIF(Holidays!$A$6:$A$58,'Cycle Calendar'!$D29)&gt;0,"H","R"))))</f>
        <v>W</v>
      </c>
      <c r="F29" s="20" t="str">
        <f t="shared" si="4"/>
        <v>W6</v>
      </c>
    </row>
    <row r="30" spans="1:12" x14ac:dyDescent="0.2">
      <c r="A30" s="20">
        <f t="shared" si="0"/>
        <v>1</v>
      </c>
      <c r="B30" s="20">
        <f t="shared" si="1"/>
        <v>25</v>
      </c>
      <c r="C30" s="20">
        <f t="shared" si="2"/>
        <v>7</v>
      </c>
      <c r="D30" s="21">
        <f t="shared" si="3"/>
        <v>46047</v>
      </c>
      <c r="E30" s="22" t="str">
        <f>IF(AND(OR($C30=6,$C30=7),Weekend_As_Holiday="YES",COUNTIF(Holidays!$A$6:$A$58,'Cycle Calendar'!$D30)&gt;0),"H",IF(AND(OR($C30=6,$C30=7),Weekend_As_Holiday="NO",COUNTIF(Holidays!$A$6:$A$58,'Cycle Calendar'!$D30)&gt;0),"W",IF(OR($C30=6,$C30=7),"W",IF(COUNTIF(Holidays!$A$6:$A$58,'Cycle Calendar'!$D30)&gt;0,"H","R"))))</f>
        <v>W</v>
      </c>
      <c r="F30" s="20" t="str">
        <f t="shared" si="4"/>
        <v>W7</v>
      </c>
    </row>
    <row r="31" spans="1:12" x14ac:dyDescent="0.2">
      <c r="A31" s="20">
        <f t="shared" si="0"/>
        <v>1</v>
      </c>
      <c r="B31" s="20">
        <f t="shared" si="1"/>
        <v>26</v>
      </c>
      <c r="C31" s="20">
        <f t="shared" si="2"/>
        <v>1</v>
      </c>
      <c r="D31" s="21">
        <f t="shared" si="3"/>
        <v>46048</v>
      </c>
      <c r="E31" s="22" t="str">
        <f>IF(AND(OR($C31=6,$C31=7),Weekend_As_Holiday="YES",COUNTIF(Holidays!$A$6:$A$58,'Cycle Calendar'!$D31)&gt;0),"H",IF(AND(OR($C31=6,$C31=7),Weekend_As_Holiday="NO",COUNTIF(Holidays!$A$6:$A$58,'Cycle Calendar'!$D31)&gt;0),"W",IF(OR($C31=6,$C31=7),"W",IF(COUNTIF(Holidays!$A$6:$A$58,'Cycle Calendar'!$D31)&gt;0,"H","R"))))</f>
        <v>R</v>
      </c>
      <c r="F31" s="20" t="str">
        <f t="shared" si="4"/>
        <v>R1</v>
      </c>
    </row>
    <row r="32" spans="1:12" x14ac:dyDescent="0.2">
      <c r="A32" s="20">
        <f t="shared" si="0"/>
        <v>1</v>
      </c>
      <c r="B32" s="20">
        <f t="shared" si="1"/>
        <v>27</v>
      </c>
      <c r="C32" s="20">
        <f t="shared" si="2"/>
        <v>2</v>
      </c>
      <c r="D32" s="21">
        <f t="shared" si="3"/>
        <v>46049</v>
      </c>
      <c r="E32" s="22" t="str">
        <f>IF(AND(OR($C32=6,$C32=7),Weekend_As_Holiday="YES",COUNTIF(Holidays!$A$6:$A$58,'Cycle Calendar'!$D32)&gt;0),"H",IF(AND(OR($C32=6,$C32=7),Weekend_As_Holiday="NO",COUNTIF(Holidays!$A$6:$A$58,'Cycle Calendar'!$D32)&gt;0),"W",IF(OR($C32=6,$C32=7),"W",IF(COUNTIF(Holidays!$A$6:$A$58,'Cycle Calendar'!$D32)&gt;0,"H","R"))))</f>
        <v>R</v>
      </c>
      <c r="F32" s="20" t="str">
        <f t="shared" si="4"/>
        <v>R2</v>
      </c>
    </row>
    <row r="33" spans="1:6" x14ac:dyDescent="0.2">
      <c r="A33" s="20">
        <f t="shared" si="0"/>
        <v>1</v>
      </c>
      <c r="B33" s="20">
        <f t="shared" si="1"/>
        <v>28</v>
      </c>
      <c r="C33" s="20">
        <f t="shared" si="2"/>
        <v>3</v>
      </c>
      <c r="D33" s="21">
        <f t="shared" si="3"/>
        <v>46050</v>
      </c>
      <c r="E33" s="22" t="str">
        <f>IF(AND(OR($C33=6,$C33=7),Weekend_As_Holiday="YES",COUNTIF(Holidays!$A$6:$A$58,'Cycle Calendar'!$D33)&gt;0),"H",IF(AND(OR($C33=6,$C33=7),Weekend_As_Holiday="NO",COUNTIF(Holidays!$A$6:$A$58,'Cycle Calendar'!$D33)&gt;0),"W",IF(OR($C33=6,$C33=7),"W",IF(COUNTIF(Holidays!$A$6:$A$58,'Cycle Calendar'!$D33)&gt;0,"H","R"))))</f>
        <v>R</v>
      </c>
      <c r="F33" s="20" t="str">
        <f t="shared" si="4"/>
        <v>R3</v>
      </c>
    </row>
    <row r="34" spans="1:6" x14ac:dyDescent="0.2">
      <c r="A34" s="20">
        <f t="shared" si="0"/>
        <v>1</v>
      </c>
      <c r="B34" s="20">
        <f t="shared" si="1"/>
        <v>29</v>
      </c>
      <c r="C34" s="20">
        <f t="shared" si="2"/>
        <v>4</v>
      </c>
      <c r="D34" s="21">
        <f t="shared" si="3"/>
        <v>46051</v>
      </c>
      <c r="E34" s="22" t="str">
        <f>IF(AND(OR($C34=6,$C34=7),Weekend_As_Holiday="YES",COUNTIF(Holidays!$A$6:$A$58,'Cycle Calendar'!$D34)&gt;0),"H",IF(AND(OR($C34=6,$C34=7),Weekend_As_Holiday="NO",COUNTIF(Holidays!$A$6:$A$58,'Cycle Calendar'!$D34)&gt;0),"W",IF(OR($C34=6,$C34=7),"W",IF(COUNTIF(Holidays!$A$6:$A$58,'Cycle Calendar'!$D34)&gt;0,"H","R"))))</f>
        <v>R</v>
      </c>
      <c r="F34" s="20" t="str">
        <f t="shared" si="4"/>
        <v>R4</v>
      </c>
    </row>
    <row r="35" spans="1:6" x14ac:dyDescent="0.2">
      <c r="A35" s="20">
        <f t="shared" si="0"/>
        <v>1</v>
      </c>
      <c r="B35" s="20">
        <f t="shared" si="1"/>
        <v>30</v>
      </c>
      <c r="C35" s="20">
        <f t="shared" si="2"/>
        <v>5</v>
      </c>
      <c r="D35" s="21">
        <f t="shared" si="3"/>
        <v>46052</v>
      </c>
      <c r="E35" s="22" t="str">
        <f>IF(AND(OR($C35=6,$C35=7),Weekend_As_Holiday="YES",COUNTIF(Holidays!$A$6:$A$58,'Cycle Calendar'!$D35)&gt;0),"H",IF(AND(OR($C35=6,$C35=7),Weekend_As_Holiday="NO",COUNTIF(Holidays!$A$6:$A$58,'Cycle Calendar'!$D35)&gt;0),"W",IF(OR($C35=6,$C35=7),"W",IF(COUNTIF(Holidays!$A$6:$A$58,'Cycle Calendar'!$D35)&gt;0,"H","R"))))</f>
        <v>R</v>
      </c>
      <c r="F35" s="20" t="str">
        <f t="shared" si="4"/>
        <v>R5</v>
      </c>
    </row>
    <row r="36" spans="1:6" x14ac:dyDescent="0.2">
      <c r="A36" s="20">
        <f t="shared" si="0"/>
        <v>1</v>
      </c>
      <c r="B36" s="20">
        <f t="shared" si="1"/>
        <v>31</v>
      </c>
      <c r="C36" s="20">
        <f t="shared" si="2"/>
        <v>6</v>
      </c>
      <c r="D36" s="21">
        <f t="shared" si="3"/>
        <v>46053</v>
      </c>
      <c r="E36" s="22" t="str">
        <f>IF(AND(OR($C36=6,$C36=7),Weekend_As_Holiday="YES",COUNTIF(Holidays!$A$6:$A$58,'Cycle Calendar'!$D36)&gt;0),"H",IF(AND(OR($C36=6,$C36=7),Weekend_As_Holiday="NO",COUNTIF(Holidays!$A$6:$A$58,'Cycle Calendar'!$D36)&gt;0),"W",IF(OR($C36=6,$C36=7),"W",IF(COUNTIF(Holidays!$A$6:$A$58,'Cycle Calendar'!$D36)&gt;0,"H","R"))))</f>
        <v>W</v>
      </c>
      <c r="F36" s="20" t="str">
        <f t="shared" si="4"/>
        <v>W6</v>
      </c>
    </row>
    <row r="37" spans="1:6" x14ac:dyDescent="0.2">
      <c r="A37" s="20">
        <v>1</v>
      </c>
      <c r="B37" s="20">
        <f t="shared" si="1"/>
        <v>32</v>
      </c>
      <c r="C37" s="20">
        <f t="shared" si="2"/>
        <v>7</v>
      </c>
      <c r="D37" s="21">
        <f>D36+1</f>
        <v>46054</v>
      </c>
      <c r="E37" s="22" t="str">
        <f>IF(AND(OR($C37=6,$C37=7),Weekend_As_Holiday="YES",COUNTIF(Holidays!$A$6:$A$58,'Cycle Calendar'!$D37)&gt;0),"H",IF(AND(OR($C37=6,$C37=7),Weekend_As_Holiday="NO",COUNTIF(Holidays!$A$6:$A$58,'Cycle Calendar'!$D37)&gt;0),"W",IF(OR($C37=6,$C37=7),"W",IF(COUNTIF(Holidays!$A$6:$A$58,'Cycle Calendar'!$D37)&gt;0,"H","R"))))</f>
        <v>W</v>
      </c>
      <c r="F37" s="20" t="str">
        <f t="shared" si="4"/>
        <v>W7</v>
      </c>
    </row>
    <row r="38" spans="1:6" x14ac:dyDescent="0.2">
      <c r="A38" s="20">
        <f t="shared" si="0"/>
        <v>2</v>
      </c>
      <c r="B38" s="20">
        <f t="shared" si="1"/>
        <v>1</v>
      </c>
      <c r="C38" s="20">
        <f t="shared" si="2"/>
        <v>1</v>
      </c>
      <c r="D38" s="21">
        <f t="shared" si="3"/>
        <v>46055</v>
      </c>
      <c r="E38" s="22" t="str">
        <f>IF(AND(OR($C38=6,$C38=7),Weekend_As_Holiday="YES",COUNTIF(Holidays!$A$6:$A$58,'Cycle Calendar'!$D38)&gt;0),"H",IF(AND(OR($C38=6,$C38=7),Weekend_As_Holiday="NO",COUNTIF(Holidays!$A$6:$A$58,'Cycle Calendar'!$D38)&gt;0),"W",IF(OR($C38=6,$C38=7),"W",IF(COUNTIF(Holidays!$A$6:$A$58,'Cycle Calendar'!$D38)&gt;0,"H","R"))))</f>
        <v>H</v>
      </c>
      <c r="F38" s="20" t="str">
        <f t="shared" si="4"/>
        <v>H1</v>
      </c>
    </row>
    <row r="39" spans="1:6" x14ac:dyDescent="0.2">
      <c r="A39" s="20">
        <f t="shared" si="0"/>
        <v>2</v>
      </c>
      <c r="B39" s="20">
        <f t="shared" si="1"/>
        <v>2</v>
      </c>
      <c r="C39" s="20">
        <f t="shared" si="2"/>
        <v>2</v>
      </c>
      <c r="D39" s="21">
        <f t="shared" si="3"/>
        <v>46056</v>
      </c>
      <c r="E39" s="22" t="str">
        <f>IF(AND(OR($C39=6,$C39=7),Weekend_As_Holiday="YES",COUNTIF(Holidays!$A$6:$A$58,'Cycle Calendar'!$D39)&gt;0),"H",IF(AND(OR($C39=6,$C39=7),Weekend_As_Holiday="NO",COUNTIF(Holidays!$A$6:$A$58,'Cycle Calendar'!$D39)&gt;0),"W",IF(OR($C39=6,$C39=7),"W",IF(COUNTIF(Holidays!$A$6:$A$58,'Cycle Calendar'!$D39)&gt;0,"H","R"))))</f>
        <v>H</v>
      </c>
      <c r="F39" s="20" t="str">
        <f t="shared" si="4"/>
        <v>H2</v>
      </c>
    </row>
    <row r="40" spans="1:6" x14ac:dyDescent="0.2">
      <c r="A40" s="20">
        <f t="shared" si="0"/>
        <v>2</v>
      </c>
      <c r="B40" s="20">
        <f t="shared" si="1"/>
        <v>3</v>
      </c>
      <c r="C40" s="20">
        <f t="shared" si="2"/>
        <v>3</v>
      </c>
      <c r="D40" s="21">
        <f t="shared" si="3"/>
        <v>46057</v>
      </c>
      <c r="E40" s="22" t="str">
        <f>IF(AND(OR($C40=6,$C40=7),Weekend_As_Holiday="YES",COUNTIF(Holidays!$A$6:$A$58,'Cycle Calendar'!$D40)&gt;0),"H",IF(AND(OR($C40=6,$C40=7),Weekend_As_Holiday="NO",COUNTIF(Holidays!$A$6:$A$58,'Cycle Calendar'!$D40)&gt;0),"W",IF(OR($C40=6,$C40=7),"W",IF(COUNTIF(Holidays!$A$6:$A$58,'Cycle Calendar'!$D40)&gt;0,"H","R"))))</f>
        <v>H</v>
      </c>
      <c r="F40" s="20" t="str">
        <f t="shared" si="4"/>
        <v>H3</v>
      </c>
    </row>
    <row r="41" spans="1:6" x14ac:dyDescent="0.2">
      <c r="A41" s="20">
        <f t="shared" si="0"/>
        <v>2</v>
      </c>
      <c r="B41" s="20">
        <f t="shared" si="1"/>
        <v>4</v>
      </c>
      <c r="C41" s="20">
        <f t="shared" si="2"/>
        <v>4</v>
      </c>
      <c r="D41" s="21">
        <f t="shared" si="3"/>
        <v>46058</v>
      </c>
      <c r="E41" s="22" t="str">
        <f>IF(AND(OR($C41=6,$C41=7),Weekend_As_Holiday="YES",COUNTIF(Holidays!$A$6:$A$58,'Cycle Calendar'!$D41)&gt;0),"H",IF(AND(OR($C41=6,$C41=7),Weekend_As_Holiday="NO",COUNTIF(Holidays!$A$6:$A$58,'Cycle Calendar'!$D41)&gt;0),"W",IF(OR($C41=6,$C41=7),"W",IF(COUNTIF(Holidays!$A$6:$A$58,'Cycle Calendar'!$D41)&gt;0,"H","R"))))</f>
        <v>H</v>
      </c>
      <c r="F41" s="20" t="str">
        <f t="shared" si="4"/>
        <v>H4</v>
      </c>
    </row>
    <row r="42" spans="1:6" x14ac:dyDescent="0.2">
      <c r="A42" s="20">
        <f t="shared" si="0"/>
        <v>2</v>
      </c>
      <c r="B42" s="20">
        <f t="shared" si="1"/>
        <v>5</v>
      </c>
      <c r="C42" s="20">
        <f t="shared" si="2"/>
        <v>5</v>
      </c>
      <c r="D42" s="21">
        <f t="shared" si="3"/>
        <v>46059</v>
      </c>
      <c r="E42" s="22" t="str">
        <f>IF(AND(OR($C42=6,$C42=7),Weekend_As_Holiday="YES",COUNTIF(Holidays!$A$6:$A$58,'Cycle Calendar'!$D42)&gt;0),"H",IF(AND(OR($C42=6,$C42=7),Weekend_As_Holiday="NO",COUNTIF(Holidays!$A$6:$A$58,'Cycle Calendar'!$D42)&gt;0),"W",IF(OR($C42=6,$C42=7),"W",IF(COUNTIF(Holidays!$A$6:$A$58,'Cycle Calendar'!$D42)&gt;0,"H","R"))))</f>
        <v>H</v>
      </c>
      <c r="F42" s="20" t="str">
        <f t="shared" si="4"/>
        <v>H5</v>
      </c>
    </row>
    <row r="43" spans="1:6" x14ac:dyDescent="0.2">
      <c r="A43" s="20">
        <f t="shared" si="0"/>
        <v>2</v>
      </c>
      <c r="B43" s="20">
        <f t="shared" si="1"/>
        <v>6</v>
      </c>
      <c r="C43" s="20">
        <f t="shared" si="2"/>
        <v>6</v>
      </c>
      <c r="D43" s="21">
        <f t="shared" si="3"/>
        <v>46060</v>
      </c>
      <c r="E43" s="22" t="str">
        <f>IF(AND(OR($C43=6,$C43=7),Weekend_As_Holiday="YES",COUNTIF(Holidays!$A$6:$A$58,'Cycle Calendar'!$D43)&gt;0),"H",IF(AND(OR($C43=6,$C43=7),Weekend_As_Holiday="NO",COUNTIF(Holidays!$A$6:$A$58,'Cycle Calendar'!$D43)&gt;0),"W",IF(OR($C43=6,$C43=7),"W",IF(COUNTIF(Holidays!$A$6:$A$58,'Cycle Calendar'!$D43)&gt;0,"H","R"))))</f>
        <v>W</v>
      </c>
      <c r="F43" s="20" t="str">
        <f t="shared" si="4"/>
        <v>W6</v>
      </c>
    </row>
    <row r="44" spans="1:6" x14ac:dyDescent="0.2">
      <c r="A44" s="20">
        <f t="shared" si="0"/>
        <v>2</v>
      </c>
      <c r="B44" s="20">
        <f t="shared" si="1"/>
        <v>7</v>
      </c>
      <c r="C44" s="20">
        <f t="shared" si="2"/>
        <v>7</v>
      </c>
      <c r="D44" s="21">
        <f t="shared" si="3"/>
        <v>46061</v>
      </c>
      <c r="E44" s="22" t="str">
        <f>IF(AND(OR($C44=6,$C44=7),Weekend_As_Holiday="YES",COUNTIF(Holidays!$A$6:$A$58,'Cycle Calendar'!$D44)&gt;0),"H",IF(AND(OR($C44=6,$C44=7),Weekend_As_Holiday="NO",COUNTIF(Holidays!$A$6:$A$58,'Cycle Calendar'!$D44)&gt;0),"W",IF(OR($C44=6,$C44=7),"W",IF(COUNTIF(Holidays!$A$6:$A$58,'Cycle Calendar'!$D44)&gt;0,"H","R"))))</f>
        <v>W</v>
      </c>
      <c r="F44" s="20" t="str">
        <f t="shared" si="4"/>
        <v>W7</v>
      </c>
    </row>
    <row r="45" spans="1:6" x14ac:dyDescent="0.2">
      <c r="A45" s="20">
        <f t="shared" si="0"/>
        <v>2</v>
      </c>
      <c r="B45" s="20">
        <f t="shared" si="1"/>
        <v>8</v>
      </c>
      <c r="C45" s="20">
        <f t="shared" si="2"/>
        <v>1</v>
      </c>
      <c r="D45" s="21">
        <f t="shared" si="3"/>
        <v>46062</v>
      </c>
      <c r="E45" s="22" t="str">
        <f>IF(AND(OR($C45=6,$C45=7),Weekend_As_Holiday="YES",COUNTIF(Holidays!$A$6:$A$58,'Cycle Calendar'!$D45)&gt;0),"H",IF(AND(OR($C45=6,$C45=7),Weekend_As_Holiday="NO",COUNTIF(Holidays!$A$6:$A$58,'Cycle Calendar'!$D45)&gt;0),"W",IF(OR($C45=6,$C45=7),"W",IF(COUNTIF(Holidays!$A$6:$A$58,'Cycle Calendar'!$D45)&gt;0,"H","R"))))</f>
        <v>R</v>
      </c>
      <c r="F45" s="20" t="str">
        <f t="shared" si="4"/>
        <v>R1</v>
      </c>
    </row>
    <row r="46" spans="1:6" x14ac:dyDescent="0.2">
      <c r="A46" s="20">
        <f t="shared" si="0"/>
        <v>2</v>
      </c>
      <c r="B46" s="20">
        <f t="shared" si="1"/>
        <v>9</v>
      </c>
      <c r="C46" s="20">
        <f t="shared" si="2"/>
        <v>2</v>
      </c>
      <c r="D46" s="21">
        <f t="shared" si="3"/>
        <v>46063</v>
      </c>
      <c r="E46" s="22" t="str">
        <f>IF(AND(OR($C46=6,$C46=7),Weekend_As_Holiday="YES",COUNTIF(Holidays!$A$6:$A$58,'Cycle Calendar'!$D46)&gt;0),"H",IF(AND(OR($C46=6,$C46=7),Weekend_As_Holiday="NO",COUNTIF(Holidays!$A$6:$A$58,'Cycle Calendar'!$D46)&gt;0),"W",IF(OR($C46=6,$C46=7),"W",IF(COUNTIF(Holidays!$A$6:$A$58,'Cycle Calendar'!$D46)&gt;0,"H","R"))))</f>
        <v>R</v>
      </c>
      <c r="F46" s="20" t="str">
        <f t="shared" si="4"/>
        <v>R2</v>
      </c>
    </row>
    <row r="47" spans="1:6" x14ac:dyDescent="0.2">
      <c r="A47" s="20">
        <f t="shared" si="0"/>
        <v>2</v>
      </c>
      <c r="B47" s="20">
        <f t="shared" si="1"/>
        <v>10</v>
      </c>
      <c r="C47" s="20">
        <f t="shared" si="2"/>
        <v>3</v>
      </c>
      <c r="D47" s="21">
        <f t="shared" si="3"/>
        <v>46064</v>
      </c>
      <c r="E47" s="22" t="str">
        <f>IF(AND(OR($C47=6,$C47=7),Weekend_As_Holiday="YES",COUNTIF(Holidays!$A$6:$A$58,'Cycle Calendar'!$D47)&gt;0),"H",IF(AND(OR($C47=6,$C47=7),Weekend_As_Holiday="NO",COUNTIF(Holidays!$A$6:$A$58,'Cycle Calendar'!$D47)&gt;0),"W",IF(OR($C47=6,$C47=7),"W",IF(COUNTIF(Holidays!$A$6:$A$58,'Cycle Calendar'!$D47)&gt;0,"H","R"))))</f>
        <v>R</v>
      </c>
      <c r="F47" s="20" t="str">
        <f t="shared" si="4"/>
        <v>R3</v>
      </c>
    </row>
    <row r="48" spans="1:6" x14ac:dyDescent="0.2">
      <c r="A48" s="20">
        <f t="shared" si="0"/>
        <v>2</v>
      </c>
      <c r="B48" s="20">
        <f t="shared" si="1"/>
        <v>11</v>
      </c>
      <c r="C48" s="20">
        <f t="shared" si="2"/>
        <v>4</v>
      </c>
      <c r="D48" s="21">
        <f t="shared" si="3"/>
        <v>46065</v>
      </c>
      <c r="E48" s="22" t="str">
        <f>IF(AND(OR($C48=6,$C48=7),Weekend_As_Holiday="YES",COUNTIF(Holidays!$A$6:$A$58,'Cycle Calendar'!$D48)&gt;0),"H",IF(AND(OR($C48=6,$C48=7),Weekend_As_Holiday="NO",COUNTIF(Holidays!$A$6:$A$58,'Cycle Calendar'!$D48)&gt;0),"W",IF(OR($C48=6,$C48=7),"W",IF(COUNTIF(Holidays!$A$6:$A$58,'Cycle Calendar'!$D48)&gt;0,"H","R"))))</f>
        <v>R</v>
      </c>
      <c r="F48" s="20" t="str">
        <f t="shared" si="4"/>
        <v>R4</v>
      </c>
    </row>
    <row r="49" spans="1:6" x14ac:dyDescent="0.2">
      <c r="A49" s="20">
        <f t="shared" si="0"/>
        <v>2</v>
      </c>
      <c r="B49" s="20">
        <f t="shared" si="1"/>
        <v>12</v>
      </c>
      <c r="C49" s="20">
        <f t="shared" si="2"/>
        <v>5</v>
      </c>
      <c r="D49" s="21">
        <f t="shared" si="3"/>
        <v>46066</v>
      </c>
      <c r="E49" s="22" t="str">
        <f>IF(AND(OR($C49=6,$C49=7),Weekend_As_Holiday="YES",COUNTIF(Holidays!$A$6:$A$58,'Cycle Calendar'!$D49)&gt;0),"H",IF(AND(OR($C49=6,$C49=7),Weekend_As_Holiday="NO",COUNTIF(Holidays!$A$6:$A$58,'Cycle Calendar'!$D49)&gt;0),"W",IF(OR($C49=6,$C49=7),"W",IF(COUNTIF(Holidays!$A$6:$A$58,'Cycle Calendar'!$D49)&gt;0,"H","R"))))</f>
        <v>R</v>
      </c>
      <c r="F49" s="20" t="str">
        <f t="shared" si="4"/>
        <v>R5</v>
      </c>
    </row>
    <row r="50" spans="1:6" x14ac:dyDescent="0.2">
      <c r="A50" s="20">
        <f t="shared" si="0"/>
        <v>2</v>
      </c>
      <c r="B50" s="20">
        <f t="shared" si="1"/>
        <v>13</v>
      </c>
      <c r="C50" s="20">
        <f t="shared" si="2"/>
        <v>6</v>
      </c>
      <c r="D50" s="21">
        <f t="shared" si="3"/>
        <v>46067</v>
      </c>
      <c r="E50" s="22" t="str">
        <f>IF(AND(OR($C50=6,$C50=7),Weekend_As_Holiday="YES",COUNTIF(Holidays!$A$6:$A$58,'Cycle Calendar'!$D50)&gt;0),"H",IF(AND(OR($C50=6,$C50=7),Weekend_As_Holiday="NO",COUNTIF(Holidays!$A$6:$A$58,'Cycle Calendar'!$D50)&gt;0),"W",IF(OR($C50=6,$C50=7),"W",IF(COUNTIF(Holidays!$A$6:$A$58,'Cycle Calendar'!$D50)&gt;0,"H","R"))))</f>
        <v>W</v>
      </c>
      <c r="F50" s="20" t="str">
        <f t="shared" si="4"/>
        <v>W6</v>
      </c>
    </row>
    <row r="51" spans="1:6" x14ac:dyDescent="0.2">
      <c r="A51" s="20">
        <f t="shared" si="0"/>
        <v>2</v>
      </c>
      <c r="B51" s="20">
        <f t="shared" si="1"/>
        <v>14</v>
      </c>
      <c r="C51" s="20">
        <f t="shared" si="2"/>
        <v>7</v>
      </c>
      <c r="D51" s="21">
        <f t="shared" si="3"/>
        <v>46068</v>
      </c>
      <c r="E51" s="22" t="str">
        <f>IF(AND(OR($C51=6,$C51=7),Weekend_As_Holiday="YES",COUNTIF(Holidays!$A$6:$A$58,'Cycle Calendar'!$D51)&gt;0),"H",IF(AND(OR($C51=6,$C51=7),Weekend_As_Holiday="NO",COUNTIF(Holidays!$A$6:$A$58,'Cycle Calendar'!$D51)&gt;0),"W",IF(OR($C51=6,$C51=7),"W",IF(COUNTIF(Holidays!$A$6:$A$58,'Cycle Calendar'!$D51)&gt;0,"H","R"))))</f>
        <v>W</v>
      </c>
      <c r="F51" s="20" t="str">
        <f t="shared" si="4"/>
        <v>W7</v>
      </c>
    </row>
    <row r="52" spans="1:6" x14ac:dyDescent="0.2">
      <c r="A52" s="20">
        <f t="shared" si="0"/>
        <v>2</v>
      </c>
      <c r="B52" s="20">
        <f t="shared" si="1"/>
        <v>15</v>
      </c>
      <c r="C52" s="20">
        <f t="shared" si="2"/>
        <v>1</v>
      </c>
      <c r="D52" s="21">
        <f t="shared" si="3"/>
        <v>46069</v>
      </c>
      <c r="E52" s="22" t="str">
        <f>IF(AND(OR($C52=6,$C52=7),Weekend_As_Holiday="YES",COUNTIF(Holidays!$A$6:$A$58,'Cycle Calendar'!$D52)&gt;0),"H",IF(AND(OR($C52=6,$C52=7),Weekend_As_Holiday="NO",COUNTIF(Holidays!$A$6:$A$58,'Cycle Calendar'!$D52)&gt;0),"W",IF(OR($C52=6,$C52=7),"W",IF(COUNTIF(Holidays!$A$6:$A$58,'Cycle Calendar'!$D52)&gt;0,"H","R"))))</f>
        <v>R</v>
      </c>
      <c r="F52" s="20" t="str">
        <f t="shared" si="4"/>
        <v>R1</v>
      </c>
    </row>
    <row r="53" spans="1:6" x14ac:dyDescent="0.2">
      <c r="A53" s="20">
        <f t="shared" si="0"/>
        <v>2</v>
      </c>
      <c r="B53" s="20">
        <f t="shared" si="1"/>
        <v>16</v>
      </c>
      <c r="C53" s="20">
        <f t="shared" si="2"/>
        <v>2</v>
      </c>
      <c r="D53" s="21">
        <f t="shared" si="3"/>
        <v>46070</v>
      </c>
      <c r="E53" s="22" t="str">
        <f>IF(AND(OR($C53=6,$C53=7),Weekend_As_Holiday="YES",COUNTIF(Holidays!$A$6:$A$58,'Cycle Calendar'!$D53)&gt;0),"H",IF(AND(OR($C53=6,$C53=7),Weekend_As_Holiday="NO",COUNTIF(Holidays!$A$6:$A$58,'Cycle Calendar'!$D53)&gt;0),"W",IF(OR($C53=6,$C53=7),"W",IF(COUNTIF(Holidays!$A$6:$A$58,'Cycle Calendar'!$D53)&gt;0,"H","R"))))</f>
        <v>H</v>
      </c>
      <c r="F53" s="20" t="str">
        <f t="shared" si="4"/>
        <v>H2</v>
      </c>
    </row>
    <row r="54" spans="1:6" x14ac:dyDescent="0.2">
      <c r="A54" s="20">
        <f t="shared" si="0"/>
        <v>2</v>
      </c>
      <c r="B54" s="20">
        <f t="shared" si="1"/>
        <v>17</v>
      </c>
      <c r="C54" s="20">
        <f t="shared" si="2"/>
        <v>3</v>
      </c>
      <c r="D54" s="21">
        <f t="shared" si="3"/>
        <v>46071</v>
      </c>
      <c r="E54" s="22" t="str">
        <f>IF(AND(OR($C54=6,$C54=7),Weekend_As_Holiday="YES",COUNTIF(Holidays!$A$6:$A$58,'Cycle Calendar'!$D54)&gt;0),"H",IF(AND(OR($C54=6,$C54=7),Weekend_As_Holiday="NO",COUNTIF(Holidays!$A$6:$A$58,'Cycle Calendar'!$D54)&gt;0),"W",IF(OR($C54=6,$C54=7),"W",IF(COUNTIF(Holidays!$A$6:$A$58,'Cycle Calendar'!$D54)&gt;0,"H","R"))))</f>
        <v>R</v>
      </c>
      <c r="F54" s="20" t="str">
        <f t="shared" si="4"/>
        <v>R3</v>
      </c>
    </row>
    <row r="55" spans="1:6" x14ac:dyDescent="0.2">
      <c r="A55" s="20">
        <f t="shared" si="0"/>
        <v>2</v>
      </c>
      <c r="B55" s="20">
        <f t="shared" si="1"/>
        <v>18</v>
      </c>
      <c r="C55" s="20">
        <f t="shared" si="2"/>
        <v>4</v>
      </c>
      <c r="D55" s="21">
        <f t="shared" si="3"/>
        <v>46072</v>
      </c>
      <c r="E55" s="22" t="str">
        <f>IF(AND(OR($C55=6,$C55=7),Weekend_As_Holiday="YES",COUNTIF(Holidays!$A$6:$A$58,'Cycle Calendar'!$D55)&gt;0),"H",IF(AND(OR($C55=6,$C55=7),Weekend_As_Holiday="NO",COUNTIF(Holidays!$A$6:$A$58,'Cycle Calendar'!$D55)&gt;0),"W",IF(OR($C55=6,$C55=7),"W",IF(COUNTIF(Holidays!$A$6:$A$58,'Cycle Calendar'!$D55)&gt;0,"H","R"))))</f>
        <v>R</v>
      </c>
      <c r="F55" s="20" t="str">
        <f t="shared" si="4"/>
        <v>R4</v>
      </c>
    </row>
    <row r="56" spans="1:6" x14ac:dyDescent="0.2">
      <c r="A56" s="20">
        <f t="shared" si="0"/>
        <v>2</v>
      </c>
      <c r="B56" s="20">
        <f t="shared" si="1"/>
        <v>19</v>
      </c>
      <c r="C56" s="20">
        <f t="shared" si="2"/>
        <v>5</v>
      </c>
      <c r="D56" s="21">
        <f t="shared" si="3"/>
        <v>46073</v>
      </c>
      <c r="E56" s="22" t="str">
        <f>IF(AND(OR($C56=6,$C56=7),Weekend_As_Holiday="YES",COUNTIF(Holidays!$A$6:$A$58,'Cycle Calendar'!$D56)&gt;0),"H",IF(AND(OR($C56=6,$C56=7),Weekend_As_Holiday="NO",COUNTIF(Holidays!$A$6:$A$58,'Cycle Calendar'!$D56)&gt;0),"W",IF(OR($C56=6,$C56=7),"W",IF(COUNTIF(Holidays!$A$6:$A$58,'Cycle Calendar'!$D56)&gt;0,"H","R"))))</f>
        <v>R</v>
      </c>
      <c r="F56" s="20" t="str">
        <f t="shared" si="4"/>
        <v>R5</v>
      </c>
    </row>
    <row r="57" spans="1:6" x14ac:dyDescent="0.2">
      <c r="A57" s="20">
        <f t="shared" si="0"/>
        <v>2</v>
      </c>
      <c r="B57" s="20">
        <f t="shared" si="1"/>
        <v>20</v>
      </c>
      <c r="C57" s="20">
        <f t="shared" si="2"/>
        <v>6</v>
      </c>
      <c r="D57" s="21">
        <f t="shared" si="3"/>
        <v>46074</v>
      </c>
      <c r="E57" s="22" t="str">
        <f>IF(AND(OR($C57=6,$C57=7),Weekend_As_Holiday="YES",COUNTIF(Holidays!$A$6:$A$58,'Cycle Calendar'!$D57)&gt;0),"H",IF(AND(OR($C57=6,$C57=7),Weekend_As_Holiday="NO",COUNTIF(Holidays!$A$6:$A$58,'Cycle Calendar'!$D57)&gt;0),"W",IF(OR($C57=6,$C57=7),"W",IF(COUNTIF(Holidays!$A$6:$A$58,'Cycle Calendar'!$D57)&gt;0,"H","R"))))</f>
        <v>W</v>
      </c>
      <c r="F57" s="20" t="str">
        <f t="shared" si="4"/>
        <v>W6</v>
      </c>
    </row>
    <row r="58" spans="1:6" x14ac:dyDescent="0.2">
      <c r="A58" s="20">
        <f t="shared" si="0"/>
        <v>2</v>
      </c>
      <c r="B58" s="20">
        <f t="shared" si="1"/>
        <v>21</v>
      </c>
      <c r="C58" s="20">
        <f t="shared" si="2"/>
        <v>7</v>
      </c>
      <c r="D58" s="21">
        <f t="shared" si="3"/>
        <v>46075</v>
      </c>
      <c r="E58" s="22" t="str">
        <f>IF(AND(OR($C58=6,$C58=7),Weekend_As_Holiday="YES",COUNTIF(Holidays!$A$6:$A$58,'Cycle Calendar'!$D58)&gt;0),"H",IF(AND(OR($C58=6,$C58=7),Weekend_As_Holiday="NO",COUNTIF(Holidays!$A$6:$A$58,'Cycle Calendar'!$D58)&gt;0),"W",IF(OR($C58=6,$C58=7),"W",IF(COUNTIF(Holidays!$A$6:$A$58,'Cycle Calendar'!$D58)&gt;0,"H","R"))))</f>
        <v>W</v>
      </c>
      <c r="F58" s="20" t="str">
        <f t="shared" si="4"/>
        <v>W7</v>
      </c>
    </row>
    <row r="59" spans="1:6" x14ac:dyDescent="0.2">
      <c r="A59" s="20">
        <f t="shared" si="0"/>
        <v>2</v>
      </c>
      <c r="B59" s="20">
        <f t="shared" si="1"/>
        <v>22</v>
      </c>
      <c r="C59" s="20">
        <f t="shared" si="2"/>
        <v>1</v>
      </c>
      <c r="D59" s="21">
        <f t="shared" si="3"/>
        <v>46076</v>
      </c>
      <c r="E59" s="22" t="str">
        <f>IF(AND(OR($C59=6,$C59=7),Weekend_As_Holiday="YES",COUNTIF(Holidays!$A$6:$A$58,'Cycle Calendar'!$D59)&gt;0),"H",IF(AND(OR($C59=6,$C59=7),Weekend_As_Holiday="NO",COUNTIF(Holidays!$A$6:$A$58,'Cycle Calendar'!$D59)&gt;0),"W",IF(OR($C59=6,$C59=7),"W",IF(COUNTIF(Holidays!$A$6:$A$58,'Cycle Calendar'!$D59)&gt;0,"H","R"))))</f>
        <v>R</v>
      </c>
      <c r="F59" s="20" t="str">
        <f t="shared" si="4"/>
        <v>R1</v>
      </c>
    </row>
    <row r="60" spans="1:6" x14ac:dyDescent="0.2">
      <c r="A60" s="20">
        <f t="shared" si="0"/>
        <v>2</v>
      </c>
      <c r="B60" s="20">
        <f t="shared" si="1"/>
        <v>23</v>
      </c>
      <c r="C60" s="20">
        <f t="shared" si="2"/>
        <v>2</v>
      </c>
      <c r="D60" s="21">
        <f t="shared" si="3"/>
        <v>46077</v>
      </c>
      <c r="E60" s="22" t="str">
        <f>IF(AND(OR($C60=6,$C60=7),Weekend_As_Holiday="YES",COUNTIF(Holidays!$A$6:$A$58,'Cycle Calendar'!$D60)&gt;0),"H",IF(AND(OR($C60=6,$C60=7),Weekend_As_Holiday="NO",COUNTIF(Holidays!$A$6:$A$58,'Cycle Calendar'!$D60)&gt;0),"W",IF(OR($C60=6,$C60=7),"W",IF(COUNTIF(Holidays!$A$6:$A$58,'Cycle Calendar'!$D60)&gt;0,"H","R"))))</f>
        <v>R</v>
      </c>
      <c r="F60" s="20" t="str">
        <f t="shared" si="4"/>
        <v>R2</v>
      </c>
    </row>
    <row r="61" spans="1:6" x14ac:dyDescent="0.2">
      <c r="A61" s="20">
        <f t="shared" si="0"/>
        <v>2</v>
      </c>
      <c r="B61" s="20">
        <f t="shared" si="1"/>
        <v>24</v>
      </c>
      <c r="C61" s="20">
        <f t="shared" si="2"/>
        <v>3</v>
      </c>
      <c r="D61" s="21">
        <f t="shared" si="3"/>
        <v>46078</v>
      </c>
      <c r="E61" s="22" t="str">
        <f>IF(AND(OR($C61=6,$C61=7),Weekend_As_Holiday="YES",COUNTIF(Holidays!$A$6:$A$58,'Cycle Calendar'!$D61)&gt;0),"H",IF(AND(OR($C61=6,$C61=7),Weekend_As_Holiday="NO",COUNTIF(Holidays!$A$6:$A$58,'Cycle Calendar'!$D61)&gt;0),"W",IF(OR($C61=6,$C61=7),"W",IF(COUNTIF(Holidays!$A$6:$A$58,'Cycle Calendar'!$D61)&gt;0,"H","R"))))</f>
        <v>R</v>
      </c>
      <c r="F61" s="20" t="str">
        <f t="shared" si="4"/>
        <v>R3</v>
      </c>
    </row>
    <row r="62" spans="1:6" x14ac:dyDescent="0.2">
      <c r="A62" s="20">
        <f t="shared" si="0"/>
        <v>2</v>
      </c>
      <c r="B62" s="20">
        <f t="shared" si="1"/>
        <v>25</v>
      </c>
      <c r="C62" s="20">
        <f t="shared" si="2"/>
        <v>4</v>
      </c>
      <c r="D62" s="21">
        <f t="shared" si="3"/>
        <v>46079</v>
      </c>
      <c r="E62" s="22" t="str">
        <f>IF(AND(OR($C62=6,$C62=7),Weekend_As_Holiday="YES",COUNTIF(Holidays!$A$6:$A$58,'Cycle Calendar'!$D62)&gt;0),"H",IF(AND(OR($C62=6,$C62=7),Weekend_As_Holiday="NO",COUNTIF(Holidays!$A$6:$A$58,'Cycle Calendar'!$D62)&gt;0),"W",IF(OR($C62=6,$C62=7),"W",IF(COUNTIF(Holidays!$A$6:$A$58,'Cycle Calendar'!$D62)&gt;0,"H","R"))))</f>
        <v>R</v>
      </c>
      <c r="F62" s="20" t="str">
        <f t="shared" si="4"/>
        <v>R4</v>
      </c>
    </row>
    <row r="63" spans="1:6" x14ac:dyDescent="0.2">
      <c r="A63" s="20">
        <f t="shared" si="0"/>
        <v>2</v>
      </c>
      <c r="B63" s="20">
        <f t="shared" si="1"/>
        <v>26</v>
      </c>
      <c r="C63" s="20">
        <f t="shared" si="2"/>
        <v>5</v>
      </c>
      <c r="D63" s="21">
        <f t="shared" si="3"/>
        <v>46080</v>
      </c>
      <c r="E63" s="22" t="str">
        <f>IF(AND(OR($C63=6,$C63=7),Weekend_As_Holiday="YES",COUNTIF(Holidays!$A$6:$A$58,'Cycle Calendar'!$D63)&gt;0),"H",IF(AND(OR($C63=6,$C63=7),Weekend_As_Holiday="NO",COUNTIF(Holidays!$A$6:$A$58,'Cycle Calendar'!$D63)&gt;0),"W",IF(OR($C63=6,$C63=7),"W",IF(COUNTIF(Holidays!$A$6:$A$58,'Cycle Calendar'!$D63)&gt;0,"H","R"))))</f>
        <v>R</v>
      </c>
      <c r="F63" s="20" t="str">
        <f t="shared" si="4"/>
        <v>R5</v>
      </c>
    </row>
    <row r="64" spans="1:6" x14ac:dyDescent="0.2">
      <c r="A64" s="20">
        <f t="shared" si="0"/>
        <v>2</v>
      </c>
      <c r="B64" s="20">
        <f t="shared" si="1"/>
        <v>27</v>
      </c>
      <c r="C64" s="20">
        <f t="shared" si="2"/>
        <v>6</v>
      </c>
      <c r="D64" s="21">
        <f>D63+1</f>
        <v>46081</v>
      </c>
      <c r="E64" s="22" t="str">
        <f>IF(AND(OR($C64=6,$C64=7),Weekend_As_Holiday="YES",COUNTIF(Holidays!$A$6:$A$58,'Cycle Calendar'!$D64)&gt;0),"H",IF(AND(OR($C64=6,$C64=7),Weekend_As_Holiday="NO",COUNTIF(Holidays!$A$6:$A$58,'Cycle Calendar'!$D64)&gt;0),"W",IF(OR($C64=6,$C64=7),"W",IF(COUNTIF(Holidays!$A$6:$A$58,'Cycle Calendar'!$D64)&gt;0,"H","R"))))</f>
        <v>W</v>
      </c>
      <c r="F64" s="20" t="str">
        <f t="shared" si="4"/>
        <v>W6</v>
      </c>
    </row>
    <row r="65" spans="1:6" x14ac:dyDescent="0.2">
      <c r="A65" s="20">
        <v>2</v>
      </c>
      <c r="B65" s="20">
        <f t="shared" si="1"/>
        <v>28</v>
      </c>
      <c r="C65" s="20">
        <f t="shared" si="2"/>
        <v>7</v>
      </c>
      <c r="D65" s="21">
        <f>D64+1</f>
        <v>46082</v>
      </c>
      <c r="E65" s="22" t="str">
        <f>IF(AND(OR($C65=6,$C65=7),Weekend_As_Holiday="YES",COUNTIF(Holidays!$A$6:$A$58,'Cycle Calendar'!$D65)&gt;0),"H",IF(AND(OR($C65=6,$C65=7),Weekend_As_Holiday="NO",COUNTIF(Holidays!$A$6:$A$58,'Cycle Calendar'!$D65)&gt;0),"W",IF(OR($C65=6,$C65=7),"W",IF(COUNTIF(Holidays!$A$6:$A$58,'Cycle Calendar'!$D65)&gt;0,"H","R"))))</f>
        <v>W</v>
      </c>
      <c r="F65" s="20" t="str">
        <f t="shared" si="4"/>
        <v>W7</v>
      </c>
    </row>
    <row r="66" spans="1:6" x14ac:dyDescent="0.2">
      <c r="A66" s="20">
        <v>2</v>
      </c>
      <c r="B66" s="20">
        <f t="shared" si="1"/>
        <v>29</v>
      </c>
      <c r="C66" s="20">
        <f t="shared" si="2"/>
        <v>1</v>
      </c>
      <c r="D66" s="21">
        <f t="shared" si="3"/>
        <v>46083</v>
      </c>
      <c r="E66" s="22" t="str">
        <f>IF(AND(OR($C66=6,$C66=7),Weekend_As_Holiday="YES",COUNTIF(Holidays!$A$6:$A$58,'Cycle Calendar'!$D66)&gt;0),"H",IF(AND(OR($C66=6,$C66=7),Weekend_As_Holiday="NO",COUNTIF(Holidays!$A$6:$A$58,'Cycle Calendar'!$D66)&gt;0),"W",IF(OR($C66=6,$C66=7),"W",IF(COUNTIF(Holidays!$A$6:$A$58,'Cycle Calendar'!$D66)&gt;0,"H","R"))))</f>
        <v>R</v>
      </c>
      <c r="F66" s="20" t="str">
        <f t="shared" si="4"/>
        <v>R1</v>
      </c>
    </row>
    <row r="67" spans="1:6" x14ac:dyDescent="0.2">
      <c r="A67" s="20">
        <v>2</v>
      </c>
      <c r="B67" s="20">
        <f t="shared" si="1"/>
        <v>30</v>
      </c>
      <c r="C67" s="20">
        <f t="shared" si="2"/>
        <v>2</v>
      </c>
      <c r="D67" s="21">
        <f t="shared" si="3"/>
        <v>46084</v>
      </c>
      <c r="E67" s="22" t="str">
        <f>IF(AND(OR($C67=6,$C67=7),Weekend_As_Holiday="YES",COUNTIF(Holidays!$A$6:$A$58,'Cycle Calendar'!$D67)&gt;0),"H",IF(AND(OR($C67=6,$C67=7),Weekend_As_Holiday="NO",COUNTIF(Holidays!$A$6:$A$58,'Cycle Calendar'!$D67)&gt;0),"W",IF(OR($C67=6,$C67=7),"W",IF(COUNTIF(Holidays!$A$6:$A$58,'Cycle Calendar'!$D67)&gt;0,"H","R"))))</f>
        <v>R</v>
      </c>
      <c r="F67" s="20" t="str">
        <f t="shared" si="4"/>
        <v>R2</v>
      </c>
    </row>
    <row r="68" spans="1:6" x14ac:dyDescent="0.2">
      <c r="A68" s="20">
        <v>2</v>
      </c>
      <c r="B68" s="20">
        <f t="shared" si="1"/>
        <v>31</v>
      </c>
      <c r="C68" s="20">
        <f t="shared" si="2"/>
        <v>3</v>
      </c>
      <c r="D68" s="21">
        <f t="shared" si="3"/>
        <v>46085</v>
      </c>
      <c r="E68" s="22" t="str">
        <f>IF(AND(OR($C68=6,$C68=7),Weekend_As_Holiday="YES",COUNTIF(Holidays!$A$6:$A$58,'Cycle Calendar'!$D68)&gt;0),"H",IF(AND(OR($C68=6,$C68=7),Weekend_As_Holiday="NO",COUNTIF(Holidays!$A$6:$A$58,'Cycle Calendar'!$D68)&gt;0),"W",IF(OR($C68=6,$C68=7),"W",IF(COUNTIF(Holidays!$A$6:$A$58,'Cycle Calendar'!$D68)&gt;0,"H","R"))))</f>
        <v>R</v>
      </c>
      <c r="F68" s="20" t="str">
        <f t="shared" si="4"/>
        <v>R3</v>
      </c>
    </row>
    <row r="69" spans="1:6" x14ac:dyDescent="0.2">
      <c r="A69" s="20">
        <v>2</v>
      </c>
      <c r="B69" s="20">
        <f t="shared" si="1"/>
        <v>32</v>
      </c>
      <c r="C69" s="20">
        <f t="shared" si="2"/>
        <v>4</v>
      </c>
      <c r="D69" s="21">
        <f t="shared" si="3"/>
        <v>46086</v>
      </c>
      <c r="E69" s="22" t="str">
        <f>IF(AND(OR($C69=6,$C69=7),Weekend_As_Holiday="YES",COUNTIF(Holidays!$A$6:$A$58,'Cycle Calendar'!$D69)&gt;0),"H",IF(AND(OR($C69=6,$C69=7),Weekend_As_Holiday="NO",COUNTIF(Holidays!$A$6:$A$58,'Cycle Calendar'!$D69)&gt;0),"W",IF(OR($C69=6,$C69=7),"W",IF(COUNTIF(Holidays!$A$6:$A$58,'Cycle Calendar'!$D69)&gt;0,"H","R"))))</f>
        <v>R</v>
      </c>
      <c r="F69" s="20" t="str">
        <f t="shared" si="4"/>
        <v>R4</v>
      </c>
    </row>
    <row r="70" spans="1:6" x14ac:dyDescent="0.2">
      <c r="A70" s="20">
        <v>2</v>
      </c>
      <c r="B70" s="20">
        <f t="shared" si="1"/>
        <v>33</v>
      </c>
      <c r="C70" s="20">
        <f t="shared" si="2"/>
        <v>5</v>
      </c>
      <c r="D70" s="21">
        <f t="shared" si="3"/>
        <v>46087</v>
      </c>
      <c r="E70" s="22" t="str">
        <f>IF(AND(OR($C70=6,$C70=7),Weekend_As_Holiday="YES",COUNTIF(Holidays!$A$6:$A$58,'Cycle Calendar'!$D70)&gt;0),"H",IF(AND(OR($C70=6,$C70=7),Weekend_As_Holiday="NO",COUNTIF(Holidays!$A$6:$A$58,'Cycle Calendar'!$D70)&gt;0),"W",IF(OR($C70=6,$C70=7),"W",IF(COUNTIF(Holidays!$A$6:$A$58,'Cycle Calendar'!$D70)&gt;0,"H","R"))))</f>
        <v>R</v>
      </c>
      <c r="F70" s="20" t="str">
        <f t="shared" ref="F70:F133" si="8">E70&amp;C70</f>
        <v>R5</v>
      </c>
    </row>
    <row r="71" spans="1:6" x14ac:dyDescent="0.2">
      <c r="A71" s="20">
        <v>2</v>
      </c>
      <c r="B71" s="20">
        <f t="shared" ref="B71:B134" si="9">IF(A71=A70,B70+1,1)</f>
        <v>34</v>
      </c>
      <c r="C71" s="20">
        <f t="shared" si="2"/>
        <v>6</v>
      </c>
      <c r="D71" s="21">
        <f t="shared" si="3"/>
        <v>46088</v>
      </c>
      <c r="E71" s="22" t="str">
        <f>IF(AND(OR($C71=6,$C71=7),Weekend_As_Holiday="YES",COUNTIF(Holidays!$A$6:$A$58,'Cycle Calendar'!$D71)&gt;0),"H",IF(AND(OR($C71=6,$C71=7),Weekend_As_Holiday="NO",COUNTIF(Holidays!$A$6:$A$58,'Cycle Calendar'!$D71)&gt;0),"W",IF(OR($C71=6,$C71=7),"W",IF(COUNTIF(Holidays!$A$6:$A$58,'Cycle Calendar'!$D71)&gt;0,"H","R"))))</f>
        <v>W</v>
      </c>
      <c r="F71" s="20" t="str">
        <f t="shared" si="8"/>
        <v>W6</v>
      </c>
    </row>
    <row r="72" spans="1:6" x14ac:dyDescent="0.2">
      <c r="A72" s="20">
        <v>2</v>
      </c>
      <c r="B72" s="20">
        <f t="shared" si="9"/>
        <v>35</v>
      </c>
      <c r="C72" s="20">
        <f t="shared" si="2"/>
        <v>7</v>
      </c>
      <c r="D72" s="21">
        <f t="shared" ref="D72:D135" si="10">D71+1</f>
        <v>46089</v>
      </c>
      <c r="E72" s="22" t="str">
        <f>IF(AND(OR($C72=6,$C72=7),Weekend_As_Holiday="YES",COUNTIF(Holidays!$A$6:$A$58,'Cycle Calendar'!$D72)&gt;0),"H",IF(AND(OR($C72=6,$C72=7),Weekend_As_Holiday="NO",COUNTIF(Holidays!$A$6:$A$58,'Cycle Calendar'!$D72)&gt;0),"W",IF(OR($C72=6,$C72=7),"W",IF(COUNTIF(Holidays!$A$6:$A$58,'Cycle Calendar'!$D72)&gt;0,"H","R"))))</f>
        <v>W</v>
      </c>
      <c r="F72" s="20" t="str">
        <f t="shared" si="8"/>
        <v>W7</v>
      </c>
    </row>
    <row r="73" spans="1:6" x14ac:dyDescent="0.2">
      <c r="A73" s="20">
        <f t="shared" ref="A70:A133" si="11">IF(Calendar_Type="Calendar-Based",MONTH(D73),INT(((ROW(A68)-1)/(Days_per_Cycle+Number_Of_Weekends)))*1+1)</f>
        <v>3</v>
      </c>
      <c r="B73" s="20">
        <f t="shared" si="9"/>
        <v>1</v>
      </c>
      <c r="C73" s="20">
        <f t="shared" ref="C73:C136" si="12">WEEKDAY(D73,2)</f>
        <v>1</v>
      </c>
      <c r="D73" s="21">
        <f t="shared" si="10"/>
        <v>46090</v>
      </c>
      <c r="E73" s="22" t="str">
        <f>IF(AND(OR($C73=6,$C73=7),Weekend_As_Holiday="YES",COUNTIF(Holidays!$A$6:$A$58,'Cycle Calendar'!$D73)&gt;0),"H",IF(AND(OR($C73=6,$C73=7),Weekend_As_Holiday="NO",COUNTIF(Holidays!$A$6:$A$58,'Cycle Calendar'!$D73)&gt;0),"W",IF(OR($C73=6,$C73=7),"W",IF(COUNTIF(Holidays!$A$6:$A$58,'Cycle Calendar'!$D73)&gt;0,"H","R"))))</f>
        <v>R</v>
      </c>
      <c r="F73" s="20" t="str">
        <f t="shared" si="8"/>
        <v>R1</v>
      </c>
    </row>
    <row r="74" spans="1:6" x14ac:dyDescent="0.2">
      <c r="A74" s="20">
        <f t="shared" si="11"/>
        <v>3</v>
      </c>
      <c r="B74" s="20">
        <f t="shared" si="9"/>
        <v>2</v>
      </c>
      <c r="C74" s="20">
        <f t="shared" si="12"/>
        <v>2</v>
      </c>
      <c r="D74" s="21">
        <f t="shared" si="10"/>
        <v>46091</v>
      </c>
      <c r="E74" s="22" t="str">
        <f>IF(AND(OR($C74=6,$C74=7),Weekend_As_Holiday="YES",COUNTIF(Holidays!$A$6:$A$58,'Cycle Calendar'!$D74)&gt;0),"H",IF(AND(OR($C74=6,$C74=7),Weekend_As_Holiday="NO",COUNTIF(Holidays!$A$6:$A$58,'Cycle Calendar'!$D74)&gt;0),"W",IF(OR($C74=6,$C74=7),"W",IF(COUNTIF(Holidays!$A$6:$A$58,'Cycle Calendar'!$D74)&gt;0,"H","R"))))</f>
        <v>R</v>
      </c>
      <c r="F74" s="20" t="str">
        <f t="shared" si="8"/>
        <v>R2</v>
      </c>
    </row>
    <row r="75" spans="1:6" x14ac:dyDescent="0.2">
      <c r="A75" s="20">
        <f t="shared" si="11"/>
        <v>3</v>
      </c>
      <c r="B75" s="20">
        <f t="shared" si="9"/>
        <v>3</v>
      </c>
      <c r="C75" s="20">
        <f t="shared" si="12"/>
        <v>3</v>
      </c>
      <c r="D75" s="21">
        <f t="shared" si="10"/>
        <v>46092</v>
      </c>
      <c r="E75" s="22" t="str">
        <f>IF(AND(OR($C75=6,$C75=7),Weekend_As_Holiday="YES",COUNTIF(Holidays!$A$6:$A$58,'Cycle Calendar'!$D75)&gt;0),"H",IF(AND(OR($C75=6,$C75=7),Weekend_As_Holiday="NO",COUNTIF(Holidays!$A$6:$A$58,'Cycle Calendar'!$D75)&gt;0),"W",IF(OR($C75=6,$C75=7),"W",IF(COUNTIF(Holidays!$A$6:$A$58,'Cycle Calendar'!$D75)&gt;0,"H","R"))))</f>
        <v>R</v>
      </c>
      <c r="F75" s="20" t="str">
        <f t="shared" si="8"/>
        <v>R3</v>
      </c>
    </row>
    <row r="76" spans="1:6" x14ac:dyDescent="0.2">
      <c r="A76" s="20">
        <f t="shared" si="11"/>
        <v>3</v>
      </c>
      <c r="B76" s="20">
        <f t="shared" si="9"/>
        <v>4</v>
      </c>
      <c r="C76" s="20">
        <f t="shared" si="12"/>
        <v>4</v>
      </c>
      <c r="D76" s="21">
        <f t="shared" si="10"/>
        <v>46093</v>
      </c>
      <c r="E76" s="22" t="str">
        <f>IF(AND(OR($C76=6,$C76=7),Weekend_As_Holiday="YES",COUNTIF(Holidays!$A$6:$A$58,'Cycle Calendar'!$D76)&gt;0),"H",IF(AND(OR($C76=6,$C76=7),Weekend_As_Holiday="NO",COUNTIF(Holidays!$A$6:$A$58,'Cycle Calendar'!$D76)&gt;0),"W",IF(OR($C76=6,$C76=7),"W",IF(COUNTIF(Holidays!$A$6:$A$58,'Cycle Calendar'!$D76)&gt;0,"H","R"))))</f>
        <v>R</v>
      </c>
      <c r="F76" s="20" t="str">
        <f t="shared" si="8"/>
        <v>R4</v>
      </c>
    </row>
    <row r="77" spans="1:6" x14ac:dyDescent="0.2">
      <c r="A77" s="20">
        <f t="shared" si="11"/>
        <v>3</v>
      </c>
      <c r="B77" s="20">
        <f t="shared" si="9"/>
        <v>5</v>
      </c>
      <c r="C77" s="20">
        <f t="shared" si="12"/>
        <v>5</v>
      </c>
      <c r="D77" s="21">
        <f t="shared" si="10"/>
        <v>46094</v>
      </c>
      <c r="E77" s="22" t="str">
        <f>IF(AND(OR($C77=6,$C77=7),Weekend_As_Holiday="YES",COUNTIF(Holidays!$A$6:$A$58,'Cycle Calendar'!$D77)&gt;0),"H",IF(AND(OR($C77=6,$C77=7),Weekend_As_Holiday="NO",COUNTIF(Holidays!$A$6:$A$58,'Cycle Calendar'!$D77)&gt;0),"W",IF(OR($C77=6,$C77=7),"W",IF(COUNTIF(Holidays!$A$6:$A$58,'Cycle Calendar'!$D77)&gt;0,"H","R"))))</f>
        <v>R</v>
      </c>
      <c r="F77" s="20" t="str">
        <f t="shared" si="8"/>
        <v>R5</v>
      </c>
    </row>
    <row r="78" spans="1:6" x14ac:dyDescent="0.2">
      <c r="A78" s="20">
        <f t="shared" si="11"/>
        <v>3</v>
      </c>
      <c r="B78" s="20">
        <f t="shared" si="9"/>
        <v>6</v>
      </c>
      <c r="C78" s="20">
        <f t="shared" si="12"/>
        <v>6</v>
      </c>
      <c r="D78" s="21">
        <f t="shared" si="10"/>
        <v>46095</v>
      </c>
      <c r="E78" s="22" t="str">
        <f>IF(AND(OR($C78=6,$C78=7),Weekend_As_Holiday="YES",COUNTIF(Holidays!$A$6:$A$58,'Cycle Calendar'!$D78)&gt;0),"H",IF(AND(OR($C78=6,$C78=7),Weekend_As_Holiday="NO",COUNTIF(Holidays!$A$6:$A$58,'Cycle Calendar'!$D78)&gt;0),"W",IF(OR($C78=6,$C78=7),"W",IF(COUNTIF(Holidays!$A$6:$A$58,'Cycle Calendar'!$D78)&gt;0,"H","R"))))</f>
        <v>W</v>
      </c>
      <c r="F78" s="20" t="str">
        <f t="shared" si="8"/>
        <v>W6</v>
      </c>
    </row>
    <row r="79" spans="1:6" x14ac:dyDescent="0.2">
      <c r="A79" s="20">
        <f t="shared" si="11"/>
        <v>3</v>
      </c>
      <c r="B79" s="20">
        <f t="shared" si="9"/>
        <v>7</v>
      </c>
      <c r="C79" s="20">
        <f t="shared" si="12"/>
        <v>7</v>
      </c>
      <c r="D79" s="21">
        <f t="shared" si="10"/>
        <v>46096</v>
      </c>
      <c r="E79" s="22" t="str">
        <f>IF(AND(OR($C79=6,$C79=7),Weekend_As_Holiday="YES",COUNTIF(Holidays!$A$6:$A$58,'Cycle Calendar'!$D79)&gt;0),"H",IF(AND(OR($C79=6,$C79=7),Weekend_As_Holiday="NO",COUNTIF(Holidays!$A$6:$A$58,'Cycle Calendar'!$D79)&gt;0),"W",IF(OR($C79=6,$C79=7),"W",IF(COUNTIF(Holidays!$A$6:$A$58,'Cycle Calendar'!$D79)&gt;0,"H","R"))))</f>
        <v>W</v>
      </c>
      <c r="F79" s="20" t="str">
        <f t="shared" si="8"/>
        <v>W7</v>
      </c>
    </row>
    <row r="80" spans="1:6" x14ac:dyDescent="0.2">
      <c r="A80" s="20">
        <f t="shared" si="11"/>
        <v>3</v>
      </c>
      <c r="B80" s="20">
        <f t="shared" si="9"/>
        <v>8</v>
      </c>
      <c r="C80" s="20">
        <f t="shared" si="12"/>
        <v>1</v>
      </c>
      <c r="D80" s="21">
        <f t="shared" si="10"/>
        <v>46097</v>
      </c>
      <c r="E80" s="22" t="str">
        <f>IF(AND(OR($C80=6,$C80=7),Weekend_As_Holiday="YES",COUNTIF(Holidays!$A$6:$A$58,'Cycle Calendar'!$D80)&gt;0),"H",IF(AND(OR($C80=6,$C80=7),Weekend_As_Holiday="NO",COUNTIF(Holidays!$A$6:$A$58,'Cycle Calendar'!$D80)&gt;0),"W",IF(OR($C80=6,$C80=7),"W",IF(COUNTIF(Holidays!$A$6:$A$58,'Cycle Calendar'!$D80)&gt;0,"H","R"))))</f>
        <v>R</v>
      </c>
      <c r="F80" s="20" t="str">
        <f t="shared" si="8"/>
        <v>R1</v>
      </c>
    </row>
    <row r="81" spans="1:6" x14ac:dyDescent="0.2">
      <c r="A81" s="20">
        <f t="shared" si="11"/>
        <v>3</v>
      </c>
      <c r="B81" s="20">
        <f t="shared" si="9"/>
        <v>9</v>
      </c>
      <c r="C81" s="20">
        <f t="shared" si="12"/>
        <v>2</v>
      </c>
      <c r="D81" s="21">
        <f t="shared" si="10"/>
        <v>46098</v>
      </c>
      <c r="E81" s="22" t="str">
        <f>IF(AND(OR($C81=6,$C81=7),Weekend_As_Holiday="YES",COUNTIF(Holidays!$A$6:$A$58,'Cycle Calendar'!$D81)&gt;0),"H",IF(AND(OR($C81=6,$C81=7),Weekend_As_Holiday="NO",COUNTIF(Holidays!$A$6:$A$58,'Cycle Calendar'!$D81)&gt;0),"W",IF(OR($C81=6,$C81=7),"W",IF(COUNTIF(Holidays!$A$6:$A$58,'Cycle Calendar'!$D81)&gt;0,"H","R"))))</f>
        <v>R</v>
      </c>
      <c r="F81" s="20" t="str">
        <f t="shared" si="8"/>
        <v>R2</v>
      </c>
    </row>
    <row r="82" spans="1:6" x14ac:dyDescent="0.2">
      <c r="A82" s="20">
        <f t="shared" si="11"/>
        <v>3</v>
      </c>
      <c r="B82" s="20">
        <f t="shared" si="9"/>
        <v>10</v>
      </c>
      <c r="C82" s="20">
        <f t="shared" si="12"/>
        <v>3</v>
      </c>
      <c r="D82" s="21">
        <f t="shared" si="10"/>
        <v>46099</v>
      </c>
      <c r="E82" s="22" t="str">
        <f>IF(AND(OR($C82=6,$C82=7),Weekend_As_Holiday="YES",COUNTIF(Holidays!$A$6:$A$58,'Cycle Calendar'!$D82)&gt;0),"H",IF(AND(OR($C82=6,$C82=7),Weekend_As_Holiday="NO",COUNTIF(Holidays!$A$6:$A$58,'Cycle Calendar'!$D82)&gt;0),"W",IF(OR($C82=6,$C82=7),"W",IF(COUNTIF(Holidays!$A$6:$A$58,'Cycle Calendar'!$D82)&gt;0,"H","R"))))</f>
        <v>R</v>
      </c>
      <c r="F82" s="20" t="str">
        <f t="shared" si="8"/>
        <v>R3</v>
      </c>
    </row>
    <row r="83" spans="1:6" x14ac:dyDescent="0.2">
      <c r="A83" s="20">
        <f t="shared" si="11"/>
        <v>3</v>
      </c>
      <c r="B83" s="20">
        <f t="shared" si="9"/>
        <v>11</v>
      </c>
      <c r="C83" s="20">
        <f t="shared" si="12"/>
        <v>4</v>
      </c>
      <c r="D83" s="21">
        <f t="shared" si="10"/>
        <v>46100</v>
      </c>
      <c r="E83" s="22" t="str">
        <f>IF(AND(OR($C83=6,$C83=7),Weekend_As_Holiday="YES",COUNTIF(Holidays!$A$6:$A$58,'Cycle Calendar'!$D83)&gt;0),"H",IF(AND(OR($C83=6,$C83=7),Weekend_As_Holiday="NO",COUNTIF(Holidays!$A$6:$A$58,'Cycle Calendar'!$D83)&gt;0),"W",IF(OR($C83=6,$C83=7),"W",IF(COUNTIF(Holidays!$A$6:$A$58,'Cycle Calendar'!$D83)&gt;0,"H","R"))))</f>
        <v>R</v>
      </c>
      <c r="F83" s="20" t="str">
        <f t="shared" si="8"/>
        <v>R4</v>
      </c>
    </row>
    <row r="84" spans="1:6" x14ac:dyDescent="0.2">
      <c r="A84" s="20">
        <f t="shared" si="11"/>
        <v>3</v>
      </c>
      <c r="B84" s="20">
        <f t="shared" si="9"/>
        <v>12</v>
      </c>
      <c r="C84" s="20">
        <f t="shared" si="12"/>
        <v>5</v>
      </c>
      <c r="D84" s="21">
        <f t="shared" si="10"/>
        <v>46101</v>
      </c>
      <c r="E84" s="22" t="str">
        <f>IF(AND(OR($C84=6,$C84=7),Weekend_As_Holiday="YES",COUNTIF(Holidays!$A$6:$A$58,'Cycle Calendar'!$D84)&gt;0),"H",IF(AND(OR($C84=6,$C84=7),Weekend_As_Holiday="NO",COUNTIF(Holidays!$A$6:$A$58,'Cycle Calendar'!$D84)&gt;0),"W",IF(OR($C84=6,$C84=7),"W",IF(COUNTIF(Holidays!$A$6:$A$58,'Cycle Calendar'!$D84)&gt;0,"H","R"))))</f>
        <v>R</v>
      </c>
      <c r="F84" s="20" t="str">
        <f t="shared" si="8"/>
        <v>R5</v>
      </c>
    </row>
    <row r="85" spans="1:6" x14ac:dyDescent="0.2">
      <c r="A85" s="20">
        <f t="shared" si="11"/>
        <v>3</v>
      </c>
      <c r="B85" s="20">
        <f t="shared" si="9"/>
        <v>13</v>
      </c>
      <c r="C85" s="20">
        <f t="shared" si="12"/>
        <v>6</v>
      </c>
      <c r="D85" s="21">
        <f t="shared" si="10"/>
        <v>46102</v>
      </c>
      <c r="E85" s="22" t="str">
        <f>IF(AND(OR($C85=6,$C85=7),Weekend_As_Holiday="YES",COUNTIF(Holidays!$A$6:$A$58,'Cycle Calendar'!$D85)&gt;0),"H",IF(AND(OR($C85=6,$C85=7),Weekend_As_Holiday="NO",COUNTIF(Holidays!$A$6:$A$58,'Cycle Calendar'!$D85)&gt;0),"W",IF(OR($C85=6,$C85=7),"W",IF(COUNTIF(Holidays!$A$6:$A$58,'Cycle Calendar'!$D85)&gt;0,"H","R"))))</f>
        <v>W</v>
      </c>
      <c r="F85" s="20" t="str">
        <f t="shared" si="8"/>
        <v>W6</v>
      </c>
    </row>
    <row r="86" spans="1:6" x14ac:dyDescent="0.2">
      <c r="A86" s="20">
        <f t="shared" si="11"/>
        <v>3</v>
      </c>
      <c r="B86" s="20">
        <f t="shared" si="9"/>
        <v>14</v>
      </c>
      <c r="C86" s="20">
        <f t="shared" si="12"/>
        <v>7</v>
      </c>
      <c r="D86" s="21">
        <f t="shared" si="10"/>
        <v>46103</v>
      </c>
      <c r="E86" s="22" t="str">
        <f>IF(AND(OR($C86=6,$C86=7),Weekend_As_Holiday="YES",COUNTIF(Holidays!$A$6:$A$58,'Cycle Calendar'!$D86)&gt;0),"H",IF(AND(OR($C86=6,$C86=7),Weekend_As_Holiday="NO",COUNTIF(Holidays!$A$6:$A$58,'Cycle Calendar'!$D86)&gt;0),"W",IF(OR($C86=6,$C86=7),"W",IF(COUNTIF(Holidays!$A$6:$A$58,'Cycle Calendar'!$D86)&gt;0,"H","R"))))</f>
        <v>W</v>
      </c>
      <c r="F86" s="20" t="str">
        <f t="shared" si="8"/>
        <v>W7</v>
      </c>
    </row>
    <row r="87" spans="1:6" x14ac:dyDescent="0.2">
      <c r="A87" s="20">
        <f t="shared" si="11"/>
        <v>3</v>
      </c>
      <c r="B87" s="20">
        <f t="shared" si="9"/>
        <v>15</v>
      </c>
      <c r="C87" s="20">
        <f t="shared" si="12"/>
        <v>1</v>
      </c>
      <c r="D87" s="21">
        <f t="shared" si="10"/>
        <v>46104</v>
      </c>
      <c r="E87" s="22" t="str">
        <f>IF(AND(OR($C87=6,$C87=7),Weekend_As_Holiday="YES",COUNTIF(Holidays!$A$6:$A$58,'Cycle Calendar'!$D87)&gt;0),"H",IF(AND(OR($C87=6,$C87=7),Weekend_As_Holiday="NO",COUNTIF(Holidays!$A$6:$A$58,'Cycle Calendar'!$D87)&gt;0),"W",IF(OR($C87=6,$C87=7),"W",IF(COUNTIF(Holidays!$A$6:$A$58,'Cycle Calendar'!$D87)&gt;0,"H","R"))))</f>
        <v>R</v>
      </c>
      <c r="F87" s="20" t="str">
        <f t="shared" si="8"/>
        <v>R1</v>
      </c>
    </row>
    <row r="88" spans="1:6" x14ac:dyDescent="0.2">
      <c r="A88" s="20">
        <f t="shared" si="11"/>
        <v>3</v>
      </c>
      <c r="B88" s="20">
        <f t="shared" si="9"/>
        <v>16</v>
      </c>
      <c r="C88" s="20">
        <f t="shared" si="12"/>
        <v>2</v>
      </c>
      <c r="D88" s="21">
        <f t="shared" si="10"/>
        <v>46105</v>
      </c>
      <c r="E88" s="22" t="str">
        <f>IF(AND(OR($C88=6,$C88=7),Weekend_As_Holiday="YES",COUNTIF(Holidays!$A$6:$A$58,'Cycle Calendar'!$D88)&gt;0),"H",IF(AND(OR($C88=6,$C88=7),Weekend_As_Holiday="NO",COUNTIF(Holidays!$A$6:$A$58,'Cycle Calendar'!$D88)&gt;0),"W",IF(OR($C88=6,$C88=7),"W",IF(COUNTIF(Holidays!$A$6:$A$58,'Cycle Calendar'!$D88)&gt;0,"H","R"))))</f>
        <v>R</v>
      </c>
      <c r="F88" s="20" t="str">
        <f t="shared" si="8"/>
        <v>R2</v>
      </c>
    </row>
    <row r="89" spans="1:6" x14ac:dyDescent="0.2">
      <c r="A89" s="20">
        <f t="shared" si="11"/>
        <v>3</v>
      </c>
      <c r="B89" s="20">
        <f t="shared" si="9"/>
        <v>17</v>
      </c>
      <c r="C89" s="20">
        <f t="shared" si="12"/>
        <v>3</v>
      </c>
      <c r="D89" s="21">
        <f t="shared" si="10"/>
        <v>46106</v>
      </c>
      <c r="E89" s="22" t="str">
        <f>IF(AND(OR($C89=6,$C89=7),Weekend_As_Holiday="YES",COUNTIF(Holidays!$A$6:$A$58,'Cycle Calendar'!$D89)&gt;0),"H",IF(AND(OR($C89=6,$C89=7),Weekend_As_Holiday="NO",COUNTIF(Holidays!$A$6:$A$58,'Cycle Calendar'!$D89)&gt;0),"W",IF(OR($C89=6,$C89=7),"W",IF(COUNTIF(Holidays!$A$6:$A$58,'Cycle Calendar'!$D89)&gt;0,"H","R"))))</f>
        <v>R</v>
      </c>
      <c r="F89" s="20" t="str">
        <f t="shared" si="8"/>
        <v>R3</v>
      </c>
    </row>
    <row r="90" spans="1:6" x14ac:dyDescent="0.2">
      <c r="A90" s="20">
        <f t="shared" si="11"/>
        <v>3</v>
      </c>
      <c r="B90" s="20">
        <f t="shared" si="9"/>
        <v>18</v>
      </c>
      <c r="C90" s="20">
        <f t="shared" si="12"/>
        <v>4</v>
      </c>
      <c r="D90" s="21">
        <f t="shared" si="10"/>
        <v>46107</v>
      </c>
      <c r="E90" s="22" t="str">
        <f>IF(AND(OR($C90=6,$C90=7),Weekend_As_Holiday="YES",COUNTIF(Holidays!$A$6:$A$58,'Cycle Calendar'!$D90)&gt;0),"H",IF(AND(OR($C90=6,$C90=7),Weekend_As_Holiday="NO",COUNTIF(Holidays!$A$6:$A$58,'Cycle Calendar'!$D90)&gt;0),"W",IF(OR($C90=6,$C90=7),"W",IF(COUNTIF(Holidays!$A$6:$A$58,'Cycle Calendar'!$D90)&gt;0,"H","R"))))</f>
        <v>R</v>
      </c>
      <c r="F90" s="20" t="str">
        <f t="shared" si="8"/>
        <v>R4</v>
      </c>
    </row>
    <row r="91" spans="1:6" x14ac:dyDescent="0.2">
      <c r="A91" s="20">
        <f t="shared" si="11"/>
        <v>3</v>
      </c>
      <c r="B91" s="20">
        <f t="shared" si="9"/>
        <v>19</v>
      </c>
      <c r="C91" s="20">
        <f t="shared" si="12"/>
        <v>5</v>
      </c>
      <c r="D91" s="21">
        <f t="shared" si="10"/>
        <v>46108</v>
      </c>
      <c r="E91" s="22" t="str">
        <f>IF(AND(OR($C91=6,$C91=7),Weekend_As_Holiday="YES",COUNTIF(Holidays!$A$6:$A$58,'Cycle Calendar'!$D91)&gt;0),"H",IF(AND(OR($C91=6,$C91=7),Weekend_As_Holiday="NO",COUNTIF(Holidays!$A$6:$A$58,'Cycle Calendar'!$D91)&gt;0),"W",IF(OR($C91=6,$C91=7),"W",IF(COUNTIF(Holidays!$A$6:$A$58,'Cycle Calendar'!$D91)&gt;0,"H","R"))))</f>
        <v>R</v>
      </c>
      <c r="F91" s="20" t="str">
        <f t="shared" si="8"/>
        <v>R5</v>
      </c>
    </row>
    <row r="92" spans="1:6" x14ac:dyDescent="0.2">
      <c r="A92" s="20">
        <f t="shared" si="11"/>
        <v>3</v>
      </c>
      <c r="B92" s="20">
        <f t="shared" si="9"/>
        <v>20</v>
      </c>
      <c r="C92" s="20">
        <f t="shared" si="12"/>
        <v>6</v>
      </c>
      <c r="D92" s="21">
        <f t="shared" si="10"/>
        <v>46109</v>
      </c>
      <c r="E92" s="22" t="str">
        <f>IF(AND(OR($C92=6,$C92=7),Weekend_As_Holiday="YES",COUNTIF(Holidays!$A$6:$A$58,'Cycle Calendar'!$D92)&gt;0),"H",IF(AND(OR($C92=6,$C92=7),Weekend_As_Holiday="NO",COUNTIF(Holidays!$A$6:$A$58,'Cycle Calendar'!$D92)&gt;0),"W",IF(OR($C92=6,$C92=7),"W",IF(COUNTIF(Holidays!$A$6:$A$58,'Cycle Calendar'!$D92)&gt;0,"H","R"))))</f>
        <v>W</v>
      </c>
      <c r="F92" s="20" t="str">
        <f t="shared" si="8"/>
        <v>W6</v>
      </c>
    </row>
    <row r="93" spans="1:6" x14ac:dyDescent="0.2">
      <c r="A93" s="20">
        <f t="shared" si="11"/>
        <v>3</v>
      </c>
      <c r="B93" s="20">
        <f t="shared" si="9"/>
        <v>21</v>
      </c>
      <c r="C93" s="20">
        <f t="shared" si="12"/>
        <v>7</v>
      </c>
      <c r="D93" s="21">
        <f t="shared" si="10"/>
        <v>46110</v>
      </c>
      <c r="E93" s="22" t="str">
        <f>IF(AND(OR($C93=6,$C93=7),Weekend_As_Holiday="YES",COUNTIF(Holidays!$A$6:$A$58,'Cycle Calendar'!$D93)&gt;0),"H",IF(AND(OR($C93=6,$C93=7),Weekend_As_Holiday="NO",COUNTIF(Holidays!$A$6:$A$58,'Cycle Calendar'!$D93)&gt;0),"W",IF(OR($C93=6,$C93=7),"W",IF(COUNTIF(Holidays!$A$6:$A$58,'Cycle Calendar'!$D93)&gt;0,"H","R"))))</f>
        <v>W</v>
      </c>
      <c r="F93" s="20" t="str">
        <f t="shared" si="8"/>
        <v>W7</v>
      </c>
    </row>
    <row r="94" spans="1:6" x14ac:dyDescent="0.2">
      <c r="A94" s="20">
        <f t="shared" si="11"/>
        <v>3</v>
      </c>
      <c r="B94" s="20">
        <f t="shared" si="9"/>
        <v>22</v>
      </c>
      <c r="C94" s="20">
        <f t="shared" si="12"/>
        <v>1</v>
      </c>
      <c r="D94" s="21">
        <f t="shared" si="10"/>
        <v>46111</v>
      </c>
      <c r="E94" s="22" t="str">
        <f>IF(AND(OR($C94=6,$C94=7),Weekend_As_Holiday="YES",COUNTIF(Holidays!$A$6:$A$58,'Cycle Calendar'!$D94)&gt;0),"H",IF(AND(OR($C94=6,$C94=7),Weekend_As_Holiday="NO",COUNTIF(Holidays!$A$6:$A$58,'Cycle Calendar'!$D94)&gt;0),"W",IF(OR($C94=6,$C94=7),"W",IF(COUNTIF(Holidays!$A$6:$A$58,'Cycle Calendar'!$D94)&gt;0,"H","R"))))</f>
        <v>H</v>
      </c>
      <c r="F94" s="20" t="str">
        <f t="shared" si="8"/>
        <v>H1</v>
      </c>
    </row>
    <row r="95" spans="1:6" x14ac:dyDescent="0.2">
      <c r="A95" s="20">
        <f t="shared" si="11"/>
        <v>3</v>
      </c>
      <c r="B95" s="20">
        <f t="shared" si="9"/>
        <v>23</v>
      </c>
      <c r="C95" s="20">
        <f t="shared" si="12"/>
        <v>2</v>
      </c>
      <c r="D95" s="21">
        <f t="shared" si="10"/>
        <v>46112</v>
      </c>
      <c r="E95" s="22" t="str">
        <f>IF(AND(OR($C95=6,$C95=7),Weekend_As_Holiday="YES",COUNTIF(Holidays!$A$6:$A$58,'Cycle Calendar'!$D95)&gt;0),"H",IF(AND(OR($C95=6,$C95=7),Weekend_As_Holiday="NO",COUNTIF(Holidays!$A$6:$A$58,'Cycle Calendar'!$D95)&gt;0),"W",IF(OR($C95=6,$C95=7),"W",IF(COUNTIF(Holidays!$A$6:$A$58,'Cycle Calendar'!$D95)&gt;0,"H","R"))))</f>
        <v>R</v>
      </c>
      <c r="F95" s="20" t="str">
        <f t="shared" si="8"/>
        <v>R2</v>
      </c>
    </row>
    <row r="96" spans="1:6" x14ac:dyDescent="0.2">
      <c r="A96" s="20">
        <v>3</v>
      </c>
      <c r="B96" s="20">
        <f t="shared" si="9"/>
        <v>24</v>
      </c>
      <c r="C96" s="20">
        <f t="shared" si="12"/>
        <v>3</v>
      </c>
      <c r="D96" s="21">
        <f t="shared" si="10"/>
        <v>46113</v>
      </c>
      <c r="E96" s="22" t="str">
        <f>IF(AND(OR($C96=6,$C96=7),Weekend_As_Holiday="YES",COUNTIF(Holidays!$A$6:$A$58,'Cycle Calendar'!$D96)&gt;0),"H",IF(AND(OR($C96=6,$C96=7),Weekend_As_Holiday="NO",COUNTIF(Holidays!$A$6:$A$58,'Cycle Calendar'!$D96)&gt;0),"W",IF(OR($C96=6,$C96=7),"W",IF(COUNTIF(Holidays!$A$6:$A$58,'Cycle Calendar'!$D96)&gt;0,"H","R"))))</f>
        <v>H</v>
      </c>
      <c r="F96" s="20" t="str">
        <f t="shared" si="8"/>
        <v>H3</v>
      </c>
    </row>
    <row r="97" spans="1:6" x14ac:dyDescent="0.2">
      <c r="A97" s="20">
        <v>3</v>
      </c>
      <c r="B97" s="20">
        <f t="shared" si="9"/>
        <v>25</v>
      </c>
      <c r="C97" s="20">
        <f t="shared" si="12"/>
        <v>4</v>
      </c>
      <c r="D97" s="21">
        <f t="shared" si="10"/>
        <v>46114</v>
      </c>
      <c r="E97" s="22" t="str">
        <f>IF(AND(OR($C97=6,$C97=7),Weekend_As_Holiday="YES",COUNTIF(Holidays!$A$6:$A$58,'Cycle Calendar'!$D97)&gt;0),"H",IF(AND(OR($C97=6,$C97=7),Weekend_As_Holiday="NO",COUNTIF(Holidays!$A$6:$A$58,'Cycle Calendar'!$D97)&gt;0),"W",IF(OR($C97=6,$C97=7),"W",IF(COUNTIF(Holidays!$A$6:$A$58,'Cycle Calendar'!$D97)&gt;0,"H","R"))))</f>
        <v>H</v>
      </c>
      <c r="F97" s="20" t="str">
        <f t="shared" si="8"/>
        <v>H4</v>
      </c>
    </row>
    <row r="98" spans="1:6" x14ac:dyDescent="0.2">
      <c r="A98" s="20">
        <v>3</v>
      </c>
      <c r="B98" s="20">
        <f t="shared" si="9"/>
        <v>26</v>
      </c>
      <c r="C98" s="20">
        <f t="shared" si="12"/>
        <v>5</v>
      </c>
      <c r="D98" s="21">
        <f t="shared" si="10"/>
        <v>46115</v>
      </c>
      <c r="E98" s="22" t="str">
        <f>IF(AND(OR($C98=6,$C98=7),Weekend_As_Holiday="YES",COUNTIF(Holidays!$A$6:$A$58,'Cycle Calendar'!$D98)&gt;0),"H",IF(AND(OR($C98=6,$C98=7),Weekend_As_Holiday="NO",COUNTIF(Holidays!$A$6:$A$58,'Cycle Calendar'!$D98)&gt;0),"W",IF(OR($C98=6,$C98=7),"W",IF(COUNTIF(Holidays!$A$6:$A$58,'Cycle Calendar'!$D98)&gt;0,"H","R"))))</f>
        <v>H</v>
      </c>
      <c r="F98" s="20" t="str">
        <f t="shared" si="8"/>
        <v>H5</v>
      </c>
    </row>
    <row r="99" spans="1:6" x14ac:dyDescent="0.2">
      <c r="A99" s="20">
        <v>3</v>
      </c>
      <c r="B99" s="20">
        <f t="shared" si="9"/>
        <v>27</v>
      </c>
      <c r="C99" s="20">
        <f t="shared" si="12"/>
        <v>6</v>
      </c>
      <c r="D99" s="21">
        <f t="shared" si="10"/>
        <v>46116</v>
      </c>
      <c r="E99" s="22" t="str">
        <f>IF(AND(OR($C99=6,$C99=7),Weekend_As_Holiday="YES",COUNTIF(Holidays!$A$6:$A$58,'Cycle Calendar'!$D99)&gt;0),"H",IF(AND(OR($C99=6,$C99=7),Weekend_As_Holiday="NO",COUNTIF(Holidays!$A$6:$A$58,'Cycle Calendar'!$D99)&gt;0),"W",IF(OR($C99=6,$C99=7),"W",IF(COUNTIF(Holidays!$A$6:$A$58,'Cycle Calendar'!$D99)&gt;0,"H","R"))))</f>
        <v>W</v>
      </c>
      <c r="F99" s="20" t="str">
        <f t="shared" si="8"/>
        <v>W6</v>
      </c>
    </row>
    <row r="100" spans="1:6" x14ac:dyDescent="0.2">
      <c r="A100" s="20">
        <v>3</v>
      </c>
      <c r="B100" s="20">
        <f t="shared" si="9"/>
        <v>28</v>
      </c>
      <c r="C100" s="20">
        <f t="shared" si="12"/>
        <v>7</v>
      </c>
      <c r="D100" s="21">
        <f t="shared" si="10"/>
        <v>46117</v>
      </c>
      <c r="E100" s="22" t="str">
        <f>IF(AND(OR($C100=6,$C100=7),Weekend_As_Holiday="YES",COUNTIF(Holidays!$A$6:$A$58,'Cycle Calendar'!$D100)&gt;0),"H",IF(AND(OR($C100=6,$C100=7),Weekend_As_Holiday="NO",COUNTIF(Holidays!$A$6:$A$58,'Cycle Calendar'!$D100)&gt;0),"W",IF(OR($C100=6,$C100=7),"W",IF(COUNTIF(Holidays!$A$6:$A$58,'Cycle Calendar'!$D100)&gt;0,"H","R"))))</f>
        <v>W</v>
      </c>
      <c r="F100" s="20" t="str">
        <f t="shared" si="8"/>
        <v>W7</v>
      </c>
    </row>
    <row r="101" spans="1:6" x14ac:dyDescent="0.2">
      <c r="A101" s="20">
        <v>3</v>
      </c>
      <c r="B101" s="20">
        <f t="shared" si="9"/>
        <v>29</v>
      </c>
      <c r="C101" s="20">
        <f t="shared" si="12"/>
        <v>1</v>
      </c>
      <c r="D101" s="21">
        <f t="shared" si="10"/>
        <v>46118</v>
      </c>
      <c r="E101" s="22" t="str">
        <f>IF(AND(OR($C101=6,$C101=7),Weekend_As_Holiday="YES",COUNTIF(Holidays!$A$6:$A$58,'Cycle Calendar'!$D101)&gt;0),"H",IF(AND(OR($C101=6,$C101=7),Weekend_As_Holiday="NO",COUNTIF(Holidays!$A$6:$A$58,'Cycle Calendar'!$D101)&gt;0),"W",IF(OR($C101=6,$C101=7),"W",IF(COUNTIF(Holidays!$A$6:$A$58,'Cycle Calendar'!$D101)&gt;0,"H","R"))))</f>
        <v>R</v>
      </c>
      <c r="F101" s="20" t="str">
        <f t="shared" si="8"/>
        <v>R1</v>
      </c>
    </row>
    <row r="102" spans="1:6" x14ac:dyDescent="0.2">
      <c r="A102" s="20">
        <v>3</v>
      </c>
      <c r="B102" s="20">
        <f t="shared" si="9"/>
        <v>30</v>
      </c>
      <c r="C102" s="20">
        <f t="shared" si="12"/>
        <v>2</v>
      </c>
      <c r="D102" s="21">
        <f t="shared" si="10"/>
        <v>46119</v>
      </c>
      <c r="E102" s="22" t="str">
        <f>IF(AND(OR($C102=6,$C102=7),Weekend_As_Holiday="YES",COUNTIF(Holidays!$A$6:$A$58,'Cycle Calendar'!$D102)&gt;0),"H",IF(AND(OR($C102=6,$C102=7),Weekend_As_Holiday="NO",COUNTIF(Holidays!$A$6:$A$58,'Cycle Calendar'!$D102)&gt;0),"W",IF(OR($C102=6,$C102=7),"W",IF(COUNTIF(Holidays!$A$6:$A$58,'Cycle Calendar'!$D102)&gt;0,"H","R"))))</f>
        <v>R</v>
      </c>
      <c r="F102" s="20" t="str">
        <f t="shared" si="8"/>
        <v>R2</v>
      </c>
    </row>
    <row r="103" spans="1:6" x14ac:dyDescent="0.2">
      <c r="A103" s="20">
        <v>3</v>
      </c>
      <c r="B103" s="20">
        <f t="shared" si="9"/>
        <v>31</v>
      </c>
      <c r="C103" s="20">
        <f t="shared" si="12"/>
        <v>3</v>
      </c>
      <c r="D103" s="21">
        <f t="shared" si="10"/>
        <v>46120</v>
      </c>
      <c r="E103" s="22" t="str">
        <f>IF(AND(OR($C103=6,$C103=7),Weekend_As_Holiday="YES",COUNTIF(Holidays!$A$6:$A$58,'Cycle Calendar'!$D103)&gt;0),"H",IF(AND(OR($C103=6,$C103=7),Weekend_As_Holiday="NO",COUNTIF(Holidays!$A$6:$A$58,'Cycle Calendar'!$D103)&gt;0),"W",IF(OR($C103=6,$C103=7),"W",IF(COUNTIF(Holidays!$A$6:$A$58,'Cycle Calendar'!$D103)&gt;0,"H","R"))))</f>
        <v>R</v>
      </c>
      <c r="F103" s="20" t="str">
        <f t="shared" si="8"/>
        <v>R3</v>
      </c>
    </row>
    <row r="104" spans="1:6" x14ac:dyDescent="0.2">
      <c r="A104" s="20">
        <v>3</v>
      </c>
      <c r="B104" s="20">
        <f t="shared" si="9"/>
        <v>32</v>
      </c>
      <c r="C104" s="20">
        <f t="shared" si="12"/>
        <v>4</v>
      </c>
      <c r="D104" s="21">
        <f t="shared" si="10"/>
        <v>46121</v>
      </c>
      <c r="E104" s="22" t="str">
        <f>IF(AND(OR($C104=6,$C104=7),Weekend_As_Holiday="YES",COUNTIF(Holidays!$A$6:$A$58,'Cycle Calendar'!$D104)&gt;0),"H",IF(AND(OR($C104=6,$C104=7),Weekend_As_Holiday="NO",COUNTIF(Holidays!$A$6:$A$58,'Cycle Calendar'!$D104)&gt;0),"W",IF(OR($C104=6,$C104=7),"W",IF(COUNTIF(Holidays!$A$6:$A$58,'Cycle Calendar'!$D104)&gt;0,"H","R"))))</f>
        <v>H</v>
      </c>
      <c r="F104" s="20" t="str">
        <f t="shared" si="8"/>
        <v>H4</v>
      </c>
    </row>
    <row r="105" spans="1:6" x14ac:dyDescent="0.2">
      <c r="A105" s="20">
        <v>3</v>
      </c>
      <c r="B105" s="20">
        <f t="shared" si="9"/>
        <v>33</v>
      </c>
      <c r="C105" s="20">
        <f t="shared" si="12"/>
        <v>5</v>
      </c>
      <c r="D105" s="21">
        <f t="shared" si="10"/>
        <v>46122</v>
      </c>
      <c r="E105" s="22" t="str">
        <f>IF(AND(OR($C105=6,$C105=7),Weekend_As_Holiday="YES",COUNTIF(Holidays!$A$6:$A$58,'Cycle Calendar'!$D105)&gt;0),"H",IF(AND(OR($C105=6,$C105=7),Weekend_As_Holiday="NO",COUNTIF(Holidays!$A$6:$A$58,'Cycle Calendar'!$D105)&gt;0),"W",IF(OR($C105=6,$C105=7),"W",IF(COUNTIF(Holidays!$A$6:$A$58,'Cycle Calendar'!$D105)&gt;0,"H","R"))))</f>
        <v>R</v>
      </c>
      <c r="F105" s="20" t="str">
        <f t="shared" si="8"/>
        <v>R5</v>
      </c>
    </row>
    <row r="106" spans="1:6" x14ac:dyDescent="0.2">
      <c r="A106" s="20">
        <v>3</v>
      </c>
      <c r="B106" s="20">
        <f t="shared" si="9"/>
        <v>34</v>
      </c>
      <c r="C106" s="20">
        <f t="shared" si="12"/>
        <v>6</v>
      </c>
      <c r="D106" s="21">
        <f t="shared" si="10"/>
        <v>46123</v>
      </c>
      <c r="E106" s="22" t="str">
        <f>IF(AND(OR($C106=6,$C106=7),Weekend_As_Holiday="YES",COUNTIF(Holidays!$A$6:$A$58,'Cycle Calendar'!$D106)&gt;0),"H",IF(AND(OR($C106=6,$C106=7),Weekend_As_Holiday="NO",COUNTIF(Holidays!$A$6:$A$58,'Cycle Calendar'!$D106)&gt;0),"W",IF(OR($C106=6,$C106=7),"W",IF(COUNTIF(Holidays!$A$6:$A$58,'Cycle Calendar'!$D106)&gt;0,"H","R"))))</f>
        <v>W</v>
      </c>
      <c r="F106" s="20" t="str">
        <f t="shared" si="8"/>
        <v>W6</v>
      </c>
    </row>
    <row r="107" spans="1:6" x14ac:dyDescent="0.2">
      <c r="A107" s="20">
        <v>3</v>
      </c>
      <c r="B107" s="20">
        <f t="shared" si="9"/>
        <v>35</v>
      </c>
      <c r="C107" s="20">
        <f t="shared" si="12"/>
        <v>7</v>
      </c>
      <c r="D107" s="21">
        <f t="shared" si="10"/>
        <v>46124</v>
      </c>
      <c r="E107" s="22" t="str">
        <f>IF(AND(OR($C107=6,$C107=7),Weekend_As_Holiday="YES",COUNTIF(Holidays!$A$6:$A$58,'Cycle Calendar'!$D107)&gt;0),"H",IF(AND(OR($C107=6,$C107=7),Weekend_As_Holiday="NO",COUNTIF(Holidays!$A$6:$A$58,'Cycle Calendar'!$D107)&gt;0),"W",IF(OR($C107=6,$C107=7),"W",IF(COUNTIF(Holidays!$A$6:$A$58,'Cycle Calendar'!$D107)&gt;0,"H","R"))))</f>
        <v>W</v>
      </c>
      <c r="F107" s="20" t="str">
        <f t="shared" si="8"/>
        <v>W7</v>
      </c>
    </row>
    <row r="108" spans="1:6" x14ac:dyDescent="0.2">
      <c r="A108" s="20">
        <f t="shared" si="11"/>
        <v>4</v>
      </c>
      <c r="B108" s="20">
        <f t="shared" si="9"/>
        <v>1</v>
      </c>
      <c r="C108" s="20">
        <f t="shared" si="12"/>
        <v>1</v>
      </c>
      <c r="D108" s="21">
        <f t="shared" si="10"/>
        <v>46125</v>
      </c>
      <c r="E108" s="22" t="str">
        <f>IF(AND(OR($C108=6,$C108=7),Weekend_As_Holiday="YES",COUNTIF(Holidays!$A$6:$A$58,'Cycle Calendar'!$D108)&gt;0),"H",IF(AND(OR($C108=6,$C108=7),Weekend_As_Holiday="NO",COUNTIF(Holidays!$A$6:$A$58,'Cycle Calendar'!$D108)&gt;0),"W",IF(OR($C108=6,$C108=7),"W",IF(COUNTIF(Holidays!$A$6:$A$58,'Cycle Calendar'!$D108)&gt;0,"H","R"))))</f>
        <v>R</v>
      </c>
      <c r="F108" s="20" t="str">
        <f t="shared" si="8"/>
        <v>R1</v>
      </c>
    </row>
    <row r="109" spans="1:6" x14ac:dyDescent="0.2">
      <c r="A109" s="20">
        <f t="shared" si="11"/>
        <v>4</v>
      </c>
      <c r="B109" s="20">
        <f t="shared" si="9"/>
        <v>2</v>
      </c>
      <c r="C109" s="20">
        <f t="shared" si="12"/>
        <v>2</v>
      </c>
      <c r="D109" s="21">
        <f t="shared" si="10"/>
        <v>46126</v>
      </c>
      <c r="E109" s="22" t="str">
        <f>IF(AND(OR($C109=6,$C109=7),Weekend_As_Holiday="YES",COUNTIF(Holidays!$A$6:$A$58,'Cycle Calendar'!$D109)&gt;0),"H",IF(AND(OR($C109=6,$C109=7),Weekend_As_Holiday="NO",COUNTIF(Holidays!$A$6:$A$58,'Cycle Calendar'!$D109)&gt;0),"W",IF(OR($C109=6,$C109=7),"W",IF(COUNTIF(Holidays!$A$6:$A$58,'Cycle Calendar'!$D109)&gt;0,"H","R"))))</f>
        <v>R</v>
      </c>
      <c r="F109" s="20" t="str">
        <f t="shared" si="8"/>
        <v>R2</v>
      </c>
    </row>
    <row r="110" spans="1:6" x14ac:dyDescent="0.2">
      <c r="A110" s="20">
        <f t="shared" si="11"/>
        <v>4</v>
      </c>
      <c r="B110" s="20">
        <f t="shared" si="9"/>
        <v>3</v>
      </c>
      <c r="C110" s="20">
        <f t="shared" si="12"/>
        <v>3</v>
      </c>
      <c r="D110" s="21">
        <f t="shared" si="10"/>
        <v>46127</v>
      </c>
      <c r="E110" s="22" t="str">
        <f>IF(AND(OR($C110=6,$C110=7),Weekend_As_Holiday="YES",COUNTIF(Holidays!$A$6:$A$58,'Cycle Calendar'!$D110)&gt;0),"H",IF(AND(OR($C110=6,$C110=7),Weekend_As_Holiday="NO",COUNTIF(Holidays!$A$6:$A$58,'Cycle Calendar'!$D110)&gt;0),"W",IF(OR($C110=6,$C110=7),"W",IF(COUNTIF(Holidays!$A$6:$A$58,'Cycle Calendar'!$D110)&gt;0,"H","R"))))</f>
        <v>R</v>
      </c>
      <c r="F110" s="20" t="str">
        <f t="shared" si="8"/>
        <v>R3</v>
      </c>
    </row>
    <row r="111" spans="1:6" x14ac:dyDescent="0.2">
      <c r="A111" s="20">
        <f t="shared" si="11"/>
        <v>4</v>
      </c>
      <c r="B111" s="20">
        <f t="shared" si="9"/>
        <v>4</v>
      </c>
      <c r="C111" s="20">
        <f t="shared" si="12"/>
        <v>4</v>
      </c>
      <c r="D111" s="21">
        <f t="shared" si="10"/>
        <v>46128</v>
      </c>
      <c r="E111" s="22" t="str">
        <f>IF(AND(OR($C111=6,$C111=7),Weekend_As_Holiday="YES",COUNTIF(Holidays!$A$6:$A$58,'Cycle Calendar'!$D111)&gt;0),"H",IF(AND(OR($C111=6,$C111=7),Weekend_As_Holiday="NO",COUNTIF(Holidays!$A$6:$A$58,'Cycle Calendar'!$D111)&gt;0),"W",IF(OR($C111=6,$C111=7),"W",IF(COUNTIF(Holidays!$A$6:$A$58,'Cycle Calendar'!$D111)&gt;0,"H","R"))))</f>
        <v>R</v>
      </c>
      <c r="F111" s="20" t="str">
        <f t="shared" si="8"/>
        <v>R4</v>
      </c>
    </row>
    <row r="112" spans="1:6" x14ac:dyDescent="0.2">
      <c r="A112" s="20">
        <f t="shared" si="11"/>
        <v>4</v>
      </c>
      <c r="B112" s="20">
        <f t="shared" si="9"/>
        <v>5</v>
      </c>
      <c r="C112" s="20">
        <f t="shared" si="12"/>
        <v>5</v>
      </c>
      <c r="D112" s="21">
        <f t="shared" si="10"/>
        <v>46129</v>
      </c>
      <c r="E112" s="22" t="str">
        <f>IF(AND(OR($C112=6,$C112=7),Weekend_As_Holiday="YES",COUNTIF(Holidays!$A$6:$A$58,'Cycle Calendar'!$D112)&gt;0),"H",IF(AND(OR($C112=6,$C112=7),Weekend_As_Holiday="NO",COUNTIF(Holidays!$A$6:$A$58,'Cycle Calendar'!$D112)&gt;0),"W",IF(OR($C112=6,$C112=7),"W",IF(COUNTIF(Holidays!$A$6:$A$58,'Cycle Calendar'!$D112)&gt;0,"H","R"))))</f>
        <v>R</v>
      </c>
      <c r="F112" s="20" t="str">
        <f t="shared" si="8"/>
        <v>R5</v>
      </c>
    </row>
    <row r="113" spans="1:6" x14ac:dyDescent="0.2">
      <c r="A113" s="20">
        <f t="shared" si="11"/>
        <v>4</v>
      </c>
      <c r="B113" s="20">
        <f t="shared" si="9"/>
        <v>6</v>
      </c>
      <c r="C113" s="20">
        <f t="shared" si="12"/>
        <v>6</v>
      </c>
      <c r="D113" s="21">
        <f t="shared" si="10"/>
        <v>46130</v>
      </c>
      <c r="E113" s="22" t="str">
        <f>IF(AND(OR($C113=6,$C113=7),Weekend_As_Holiday="YES",COUNTIF(Holidays!$A$6:$A$58,'Cycle Calendar'!$D113)&gt;0),"H",IF(AND(OR($C113=6,$C113=7),Weekend_As_Holiday="NO",COUNTIF(Holidays!$A$6:$A$58,'Cycle Calendar'!$D113)&gt;0),"W",IF(OR($C113=6,$C113=7),"W",IF(COUNTIF(Holidays!$A$6:$A$58,'Cycle Calendar'!$D113)&gt;0,"H","R"))))</f>
        <v>W</v>
      </c>
      <c r="F113" s="20" t="str">
        <f t="shared" si="8"/>
        <v>W6</v>
      </c>
    </row>
    <row r="114" spans="1:6" x14ac:dyDescent="0.2">
      <c r="A114" s="20">
        <f t="shared" si="11"/>
        <v>4</v>
      </c>
      <c r="B114" s="20">
        <f t="shared" si="9"/>
        <v>7</v>
      </c>
      <c r="C114" s="20">
        <f t="shared" si="12"/>
        <v>7</v>
      </c>
      <c r="D114" s="21">
        <f t="shared" si="10"/>
        <v>46131</v>
      </c>
      <c r="E114" s="22" t="str">
        <f>IF(AND(OR($C114=6,$C114=7),Weekend_As_Holiday="YES",COUNTIF(Holidays!$A$6:$A$58,'Cycle Calendar'!$D114)&gt;0),"H",IF(AND(OR($C114=6,$C114=7),Weekend_As_Holiday="NO",COUNTIF(Holidays!$A$6:$A$58,'Cycle Calendar'!$D114)&gt;0),"W",IF(OR($C114=6,$C114=7),"W",IF(COUNTIF(Holidays!$A$6:$A$58,'Cycle Calendar'!$D114)&gt;0,"H","R"))))</f>
        <v>W</v>
      </c>
      <c r="F114" s="20" t="str">
        <f t="shared" si="8"/>
        <v>W7</v>
      </c>
    </row>
    <row r="115" spans="1:6" x14ac:dyDescent="0.2">
      <c r="A115" s="20">
        <f t="shared" si="11"/>
        <v>4</v>
      </c>
      <c r="B115" s="20">
        <f t="shared" si="9"/>
        <v>8</v>
      </c>
      <c r="C115" s="20">
        <f t="shared" si="12"/>
        <v>1</v>
      </c>
      <c r="D115" s="21">
        <f t="shared" si="10"/>
        <v>46132</v>
      </c>
      <c r="E115" s="22" t="str">
        <f>IF(AND(OR($C115=6,$C115=7),Weekend_As_Holiday="YES",COUNTIF(Holidays!$A$6:$A$58,'Cycle Calendar'!$D115)&gt;0),"H",IF(AND(OR($C115=6,$C115=7),Weekend_As_Holiday="NO",COUNTIF(Holidays!$A$6:$A$58,'Cycle Calendar'!$D115)&gt;0),"W",IF(OR($C115=6,$C115=7),"W",IF(COUNTIF(Holidays!$A$6:$A$58,'Cycle Calendar'!$D115)&gt;0,"H","R"))))</f>
        <v>R</v>
      </c>
      <c r="F115" s="20" t="str">
        <f t="shared" si="8"/>
        <v>R1</v>
      </c>
    </row>
    <row r="116" spans="1:6" x14ac:dyDescent="0.2">
      <c r="A116" s="20">
        <f t="shared" si="11"/>
        <v>4</v>
      </c>
      <c r="B116" s="20">
        <f t="shared" si="9"/>
        <v>9</v>
      </c>
      <c r="C116" s="20">
        <f t="shared" si="12"/>
        <v>2</v>
      </c>
      <c r="D116" s="21">
        <f t="shared" si="10"/>
        <v>46133</v>
      </c>
      <c r="E116" s="22" t="str">
        <f>IF(AND(OR($C116=6,$C116=7),Weekend_As_Holiday="YES",COUNTIF(Holidays!$A$6:$A$58,'Cycle Calendar'!$D116)&gt;0),"H",IF(AND(OR($C116=6,$C116=7),Weekend_As_Holiday="NO",COUNTIF(Holidays!$A$6:$A$58,'Cycle Calendar'!$D116)&gt;0),"W",IF(OR($C116=6,$C116=7),"W",IF(COUNTIF(Holidays!$A$6:$A$58,'Cycle Calendar'!$D116)&gt;0,"H","R"))))</f>
        <v>R</v>
      </c>
      <c r="F116" s="20" t="str">
        <f t="shared" si="8"/>
        <v>R2</v>
      </c>
    </row>
    <row r="117" spans="1:6" x14ac:dyDescent="0.2">
      <c r="A117" s="20">
        <f t="shared" si="11"/>
        <v>4</v>
      </c>
      <c r="B117" s="20">
        <f t="shared" si="9"/>
        <v>10</v>
      </c>
      <c r="C117" s="20">
        <f t="shared" si="12"/>
        <v>3</v>
      </c>
      <c r="D117" s="21">
        <f t="shared" si="10"/>
        <v>46134</v>
      </c>
      <c r="E117" s="22" t="str">
        <f>IF(AND(OR($C117=6,$C117=7),Weekend_As_Holiday="YES",COUNTIF(Holidays!$A$6:$A$58,'Cycle Calendar'!$D117)&gt;0),"H",IF(AND(OR($C117=6,$C117=7),Weekend_As_Holiday="NO",COUNTIF(Holidays!$A$6:$A$58,'Cycle Calendar'!$D117)&gt;0),"W",IF(OR($C117=6,$C117=7),"W",IF(COUNTIF(Holidays!$A$6:$A$58,'Cycle Calendar'!$D117)&gt;0,"H","R"))))</f>
        <v>R</v>
      </c>
      <c r="F117" s="20" t="str">
        <f t="shared" si="8"/>
        <v>R3</v>
      </c>
    </row>
    <row r="118" spans="1:6" x14ac:dyDescent="0.2">
      <c r="A118" s="20">
        <f t="shared" si="11"/>
        <v>4</v>
      </c>
      <c r="B118" s="20">
        <f t="shared" si="9"/>
        <v>11</v>
      </c>
      <c r="C118" s="20">
        <f t="shared" si="12"/>
        <v>4</v>
      </c>
      <c r="D118" s="21">
        <f t="shared" si="10"/>
        <v>46135</v>
      </c>
      <c r="E118" s="22" t="str">
        <f>IF(AND(OR($C118=6,$C118=7),Weekend_As_Holiday="YES",COUNTIF(Holidays!$A$6:$A$58,'Cycle Calendar'!$D118)&gt;0),"H",IF(AND(OR($C118=6,$C118=7),Weekend_As_Holiday="NO",COUNTIF(Holidays!$A$6:$A$58,'Cycle Calendar'!$D118)&gt;0),"W",IF(OR($C118=6,$C118=7),"W",IF(COUNTIF(Holidays!$A$6:$A$58,'Cycle Calendar'!$D118)&gt;0,"H","R"))))</f>
        <v>R</v>
      </c>
      <c r="F118" s="20" t="str">
        <f t="shared" si="8"/>
        <v>R4</v>
      </c>
    </row>
    <row r="119" spans="1:6" x14ac:dyDescent="0.2">
      <c r="A119" s="20">
        <f t="shared" si="11"/>
        <v>4</v>
      </c>
      <c r="B119" s="20">
        <f t="shared" si="9"/>
        <v>12</v>
      </c>
      <c r="C119" s="20">
        <f t="shared" si="12"/>
        <v>5</v>
      </c>
      <c r="D119" s="21">
        <f t="shared" si="10"/>
        <v>46136</v>
      </c>
      <c r="E119" s="22" t="str">
        <f>IF(AND(OR($C119=6,$C119=7),Weekend_As_Holiday="YES",COUNTIF(Holidays!$A$6:$A$58,'Cycle Calendar'!$D119)&gt;0),"H",IF(AND(OR($C119=6,$C119=7),Weekend_As_Holiday="NO",COUNTIF(Holidays!$A$6:$A$58,'Cycle Calendar'!$D119)&gt;0),"W",IF(OR($C119=6,$C119=7),"W",IF(COUNTIF(Holidays!$A$6:$A$58,'Cycle Calendar'!$D119)&gt;0,"H","R"))))</f>
        <v>R</v>
      </c>
      <c r="F119" s="20" t="str">
        <f t="shared" si="8"/>
        <v>R5</v>
      </c>
    </row>
    <row r="120" spans="1:6" x14ac:dyDescent="0.2">
      <c r="A120" s="20">
        <f t="shared" si="11"/>
        <v>4</v>
      </c>
      <c r="B120" s="20">
        <f t="shared" si="9"/>
        <v>13</v>
      </c>
      <c r="C120" s="20">
        <f t="shared" si="12"/>
        <v>6</v>
      </c>
      <c r="D120" s="21">
        <f t="shared" si="10"/>
        <v>46137</v>
      </c>
      <c r="E120" s="22" t="str">
        <f>IF(AND(OR($C120=6,$C120=7),Weekend_As_Holiday="YES",COUNTIF(Holidays!$A$6:$A$58,'Cycle Calendar'!$D120)&gt;0),"H",IF(AND(OR($C120=6,$C120=7),Weekend_As_Holiday="NO",COUNTIF(Holidays!$A$6:$A$58,'Cycle Calendar'!$D120)&gt;0),"W",IF(OR($C120=6,$C120=7),"W",IF(COUNTIF(Holidays!$A$6:$A$58,'Cycle Calendar'!$D120)&gt;0,"H","R"))))</f>
        <v>W</v>
      </c>
      <c r="F120" s="20" t="str">
        <f t="shared" si="8"/>
        <v>W6</v>
      </c>
    </row>
    <row r="121" spans="1:6" x14ac:dyDescent="0.2">
      <c r="A121" s="20">
        <f t="shared" si="11"/>
        <v>4</v>
      </c>
      <c r="B121" s="20">
        <f t="shared" si="9"/>
        <v>14</v>
      </c>
      <c r="C121" s="20">
        <f t="shared" si="12"/>
        <v>7</v>
      </c>
      <c r="D121" s="21">
        <f t="shared" si="10"/>
        <v>46138</v>
      </c>
      <c r="E121" s="22" t="str">
        <f>IF(AND(OR($C121=6,$C121=7),Weekend_As_Holiday="YES",COUNTIF(Holidays!$A$6:$A$58,'Cycle Calendar'!$D121)&gt;0),"H",IF(AND(OR($C121=6,$C121=7),Weekend_As_Holiday="NO",COUNTIF(Holidays!$A$6:$A$58,'Cycle Calendar'!$D121)&gt;0),"W",IF(OR($C121=6,$C121=7),"W",IF(COUNTIF(Holidays!$A$6:$A$58,'Cycle Calendar'!$D121)&gt;0,"H","R"))))</f>
        <v>W</v>
      </c>
      <c r="F121" s="20" t="str">
        <f t="shared" si="8"/>
        <v>W7</v>
      </c>
    </row>
    <row r="122" spans="1:6" x14ac:dyDescent="0.2">
      <c r="A122" s="20">
        <f t="shared" si="11"/>
        <v>4</v>
      </c>
      <c r="B122" s="20">
        <f t="shared" si="9"/>
        <v>15</v>
      </c>
      <c r="C122" s="20">
        <f t="shared" si="12"/>
        <v>1</v>
      </c>
      <c r="D122" s="21">
        <f t="shared" si="10"/>
        <v>46139</v>
      </c>
      <c r="E122" s="22" t="str">
        <f>IF(AND(OR($C122=6,$C122=7),Weekend_As_Holiday="YES",COUNTIF(Holidays!$A$6:$A$58,'Cycle Calendar'!$D122)&gt;0),"H",IF(AND(OR($C122=6,$C122=7),Weekend_As_Holiday="NO",COUNTIF(Holidays!$A$6:$A$58,'Cycle Calendar'!$D122)&gt;0),"W",IF(OR($C122=6,$C122=7),"W",IF(COUNTIF(Holidays!$A$6:$A$58,'Cycle Calendar'!$D122)&gt;0,"H","R"))))</f>
        <v>R</v>
      </c>
      <c r="F122" s="20" t="str">
        <f t="shared" si="8"/>
        <v>R1</v>
      </c>
    </row>
    <row r="123" spans="1:6" x14ac:dyDescent="0.2">
      <c r="A123" s="20">
        <f t="shared" si="11"/>
        <v>4</v>
      </c>
      <c r="B123" s="20">
        <f t="shared" si="9"/>
        <v>16</v>
      </c>
      <c r="C123" s="20">
        <f t="shared" si="12"/>
        <v>2</v>
      </c>
      <c r="D123" s="21">
        <f t="shared" si="10"/>
        <v>46140</v>
      </c>
      <c r="E123" s="22" t="str">
        <f>IF(AND(OR($C123=6,$C123=7),Weekend_As_Holiday="YES",COUNTIF(Holidays!$A$6:$A$58,'Cycle Calendar'!$D123)&gt;0),"H",IF(AND(OR($C123=6,$C123=7),Weekend_As_Holiday="NO",COUNTIF(Holidays!$A$6:$A$58,'Cycle Calendar'!$D123)&gt;0),"W",IF(OR($C123=6,$C123=7),"W",IF(COUNTIF(Holidays!$A$6:$A$58,'Cycle Calendar'!$D123)&gt;0,"H","R"))))</f>
        <v>R</v>
      </c>
      <c r="F123" s="20" t="str">
        <f t="shared" si="8"/>
        <v>R2</v>
      </c>
    </row>
    <row r="124" spans="1:6" x14ac:dyDescent="0.2">
      <c r="A124" s="20">
        <f t="shared" si="11"/>
        <v>4</v>
      </c>
      <c r="B124" s="20">
        <f t="shared" si="9"/>
        <v>17</v>
      </c>
      <c r="C124" s="20">
        <f t="shared" si="12"/>
        <v>3</v>
      </c>
      <c r="D124" s="21">
        <f t="shared" si="10"/>
        <v>46141</v>
      </c>
      <c r="E124" s="22" t="str">
        <f>IF(AND(OR($C124=6,$C124=7),Weekend_As_Holiday="YES",COUNTIF(Holidays!$A$6:$A$58,'Cycle Calendar'!$D124)&gt;0),"H",IF(AND(OR($C124=6,$C124=7),Weekend_As_Holiday="NO",COUNTIF(Holidays!$A$6:$A$58,'Cycle Calendar'!$D124)&gt;0),"W",IF(OR($C124=6,$C124=7),"W",IF(COUNTIF(Holidays!$A$6:$A$58,'Cycle Calendar'!$D124)&gt;0,"H","R"))))</f>
        <v>R</v>
      </c>
      <c r="F124" s="20" t="str">
        <f t="shared" si="8"/>
        <v>R3</v>
      </c>
    </row>
    <row r="125" spans="1:6" x14ac:dyDescent="0.2">
      <c r="A125" s="20">
        <f t="shared" si="11"/>
        <v>4</v>
      </c>
      <c r="B125" s="20">
        <f t="shared" si="9"/>
        <v>18</v>
      </c>
      <c r="C125" s="20">
        <f t="shared" si="12"/>
        <v>4</v>
      </c>
      <c r="D125" s="21">
        <f t="shared" si="10"/>
        <v>46142</v>
      </c>
      <c r="E125" s="22" t="str">
        <f>IF(AND(OR($C125=6,$C125=7),Weekend_As_Holiday="YES",COUNTIF(Holidays!$A$6:$A$58,'Cycle Calendar'!$D125)&gt;0),"H",IF(AND(OR($C125=6,$C125=7),Weekend_As_Holiday="NO",COUNTIF(Holidays!$A$6:$A$58,'Cycle Calendar'!$D125)&gt;0),"W",IF(OR($C125=6,$C125=7),"W",IF(COUNTIF(Holidays!$A$6:$A$58,'Cycle Calendar'!$D125)&gt;0,"H","R"))))</f>
        <v>R</v>
      </c>
      <c r="F125" s="20" t="str">
        <f t="shared" si="8"/>
        <v>R4</v>
      </c>
    </row>
    <row r="126" spans="1:6" x14ac:dyDescent="0.2">
      <c r="A126" s="20">
        <v>4</v>
      </c>
      <c r="B126" s="20">
        <f t="shared" si="9"/>
        <v>19</v>
      </c>
      <c r="C126" s="20">
        <f t="shared" si="12"/>
        <v>5</v>
      </c>
      <c r="D126" s="21">
        <f t="shared" si="10"/>
        <v>46143</v>
      </c>
      <c r="E126" s="22" t="str">
        <f>IF(AND(OR($C126=6,$C126=7),Weekend_As_Holiday="YES",COUNTIF(Holidays!$A$6:$A$58,'Cycle Calendar'!$D126)&gt;0),"H",IF(AND(OR($C126=6,$C126=7),Weekend_As_Holiday="NO",COUNTIF(Holidays!$A$6:$A$58,'Cycle Calendar'!$D126)&gt;0),"W",IF(OR($C126=6,$C126=7),"W",IF(COUNTIF(Holidays!$A$6:$A$58,'Cycle Calendar'!$D126)&gt;0,"H","R"))))</f>
        <v>H</v>
      </c>
      <c r="F126" s="20" t="str">
        <f t="shared" si="8"/>
        <v>H5</v>
      </c>
    </row>
    <row r="127" spans="1:6" x14ac:dyDescent="0.2">
      <c r="A127" s="20">
        <v>4</v>
      </c>
      <c r="B127" s="20">
        <f t="shared" si="9"/>
        <v>20</v>
      </c>
      <c r="C127" s="20">
        <f t="shared" si="12"/>
        <v>6</v>
      </c>
      <c r="D127" s="21">
        <f t="shared" si="10"/>
        <v>46144</v>
      </c>
      <c r="E127" s="22" t="str">
        <f>IF(AND(OR($C127=6,$C127=7),Weekend_As_Holiday="YES",COUNTIF(Holidays!$A$6:$A$58,'Cycle Calendar'!$D127)&gt;0),"H",IF(AND(OR($C127=6,$C127=7),Weekend_As_Holiday="NO",COUNTIF(Holidays!$A$6:$A$58,'Cycle Calendar'!$D127)&gt;0),"W",IF(OR($C127=6,$C127=7),"W",IF(COUNTIF(Holidays!$A$6:$A$58,'Cycle Calendar'!$D127)&gt;0,"H","R"))))</f>
        <v>W</v>
      </c>
      <c r="F127" s="20" t="str">
        <f t="shared" si="8"/>
        <v>W6</v>
      </c>
    </row>
    <row r="128" spans="1:6" x14ac:dyDescent="0.2">
      <c r="A128" s="20">
        <v>4</v>
      </c>
      <c r="B128" s="20">
        <f t="shared" si="9"/>
        <v>21</v>
      </c>
      <c r="C128" s="20">
        <f t="shared" si="12"/>
        <v>7</v>
      </c>
      <c r="D128" s="21">
        <f t="shared" si="10"/>
        <v>46145</v>
      </c>
      <c r="E128" s="22" t="str">
        <f>IF(AND(OR($C128=6,$C128=7),Weekend_As_Holiday="YES",COUNTIF(Holidays!$A$6:$A$58,'Cycle Calendar'!$D128)&gt;0),"H",IF(AND(OR($C128=6,$C128=7),Weekend_As_Holiday="NO",COUNTIF(Holidays!$A$6:$A$58,'Cycle Calendar'!$D128)&gt;0),"W",IF(OR($C128=6,$C128=7),"W",IF(COUNTIF(Holidays!$A$6:$A$58,'Cycle Calendar'!$D128)&gt;0,"H","R"))))</f>
        <v>W</v>
      </c>
      <c r="F128" s="20" t="str">
        <f t="shared" si="8"/>
        <v>W7</v>
      </c>
    </row>
    <row r="129" spans="1:6" x14ac:dyDescent="0.2">
      <c r="A129" s="20">
        <v>4</v>
      </c>
      <c r="B129" s="20">
        <f t="shared" si="9"/>
        <v>22</v>
      </c>
      <c r="C129" s="20">
        <f t="shared" si="12"/>
        <v>1</v>
      </c>
      <c r="D129" s="21">
        <f t="shared" si="10"/>
        <v>46146</v>
      </c>
      <c r="E129" s="22" t="str">
        <f>IF(AND(OR($C129=6,$C129=7),Weekend_As_Holiday="YES",COUNTIF(Holidays!$A$6:$A$58,'Cycle Calendar'!$D129)&gt;0),"H",IF(AND(OR($C129=6,$C129=7),Weekend_As_Holiday="NO",COUNTIF(Holidays!$A$6:$A$58,'Cycle Calendar'!$D129)&gt;0),"W",IF(OR($C129=6,$C129=7),"W",IF(COUNTIF(Holidays!$A$6:$A$58,'Cycle Calendar'!$D129)&gt;0,"H","R"))))</f>
        <v>R</v>
      </c>
      <c r="F129" s="20" t="str">
        <f t="shared" si="8"/>
        <v>R1</v>
      </c>
    </row>
    <row r="130" spans="1:6" x14ac:dyDescent="0.2">
      <c r="A130" s="20">
        <v>4</v>
      </c>
      <c r="B130" s="20">
        <f t="shared" si="9"/>
        <v>23</v>
      </c>
      <c r="C130" s="20">
        <f t="shared" si="12"/>
        <v>2</v>
      </c>
      <c r="D130" s="21">
        <f t="shared" si="10"/>
        <v>46147</v>
      </c>
      <c r="E130" s="22" t="str">
        <f>IF(AND(OR($C130=6,$C130=7),Weekend_As_Holiday="YES",COUNTIF(Holidays!$A$6:$A$58,'Cycle Calendar'!$D130)&gt;0),"H",IF(AND(OR($C130=6,$C130=7),Weekend_As_Holiday="NO",COUNTIF(Holidays!$A$6:$A$58,'Cycle Calendar'!$D130)&gt;0),"W",IF(OR($C130=6,$C130=7),"W",IF(COUNTIF(Holidays!$A$6:$A$58,'Cycle Calendar'!$D130)&gt;0,"H","R"))))</f>
        <v>R</v>
      </c>
      <c r="F130" s="20" t="str">
        <f t="shared" si="8"/>
        <v>R2</v>
      </c>
    </row>
    <row r="131" spans="1:6" x14ac:dyDescent="0.2">
      <c r="A131" s="20">
        <v>4</v>
      </c>
      <c r="B131" s="20">
        <f t="shared" si="9"/>
        <v>24</v>
      </c>
      <c r="C131" s="20">
        <f t="shared" si="12"/>
        <v>3</v>
      </c>
      <c r="D131" s="21">
        <f t="shared" si="10"/>
        <v>46148</v>
      </c>
      <c r="E131" s="22" t="str">
        <f>IF(AND(OR($C131=6,$C131=7),Weekend_As_Holiday="YES",COUNTIF(Holidays!$A$6:$A$58,'Cycle Calendar'!$D131)&gt;0),"H",IF(AND(OR($C131=6,$C131=7),Weekend_As_Holiday="NO",COUNTIF(Holidays!$A$6:$A$58,'Cycle Calendar'!$D131)&gt;0),"W",IF(OR($C131=6,$C131=7),"W",IF(COUNTIF(Holidays!$A$6:$A$58,'Cycle Calendar'!$D131)&gt;0,"H","R"))))</f>
        <v>R</v>
      </c>
      <c r="F131" s="20" t="str">
        <f t="shared" si="8"/>
        <v>R3</v>
      </c>
    </row>
    <row r="132" spans="1:6" x14ac:dyDescent="0.2">
      <c r="A132" s="20">
        <v>4</v>
      </c>
      <c r="B132" s="20">
        <f t="shared" si="9"/>
        <v>25</v>
      </c>
      <c r="C132" s="20">
        <f t="shared" si="12"/>
        <v>4</v>
      </c>
      <c r="D132" s="21">
        <f t="shared" si="10"/>
        <v>46149</v>
      </c>
      <c r="E132" s="22" t="str">
        <f>IF(AND(OR($C132=6,$C132=7),Weekend_As_Holiday="YES",COUNTIF(Holidays!$A$6:$A$58,'Cycle Calendar'!$D132)&gt;0),"H",IF(AND(OR($C132=6,$C132=7),Weekend_As_Holiday="NO",COUNTIF(Holidays!$A$6:$A$58,'Cycle Calendar'!$D132)&gt;0),"W",IF(OR($C132=6,$C132=7),"W",IF(COUNTIF(Holidays!$A$6:$A$58,'Cycle Calendar'!$D132)&gt;0,"H","R"))))</f>
        <v>R</v>
      </c>
      <c r="F132" s="20" t="str">
        <f t="shared" si="8"/>
        <v>R4</v>
      </c>
    </row>
    <row r="133" spans="1:6" x14ac:dyDescent="0.2">
      <c r="A133" s="20">
        <v>4</v>
      </c>
      <c r="B133" s="20">
        <f t="shared" si="9"/>
        <v>26</v>
      </c>
      <c r="C133" s="20">
        <f t="shared" si="12"/>
        <v>5</v>
      </c>
      <c r="D133" s="21">
        <f t="shared" si="10"/>
        <v>46150</v>
      </c>
      <c r="E133" s="22" t="str">
        <f>IF(AND(OR($C133=6,$C133=7),Weekend_As_Holiday="YES",COUNTIF(Holidays!$A$6:$A$58,'Cycle Calendar'!$D133)&gt;0),"H",IF(AND(OR($C133=6,$C133=7),Weekend_As_Holiday="NO",COUNTIF(Holidays!$A$6:$A$58,'Cycle Calendar'!$D133)&gt;0),"W",IF(OR($C133=6,$C133=7),"W",IF(COUNTIF(Holidays!$A$6:$A$58,'Cycle Calendar'!$D133)&gt;0,"H","R"))))</f>
        <v>R</v>
      </c>
      <c r="F133" s="20" t="str">
        <f t="shared" si="8"/>
        <v>R5</v>
      </c>
    </row>
    <row r="134" spans="1:6" x14ac:dyDescent="0.2">
      <c r="A134" s="20">
        <v>4</v>
      </c>
      <c r="B134" s="20">
        <f t="shared" si="9"/>
        <v>27</v>
      </c>
      <c r="C134" s="20">
        <f t="shared" si="12"/>
        <v>6</v>
      </c>
      <c r="D134" s="21">
        <f t="shared" si="10"/>
        <v>46151</v>
      </c>
      <c r="E134" s="22" t="str">
        <f>IF(AND(OR($C134=6,$C134=7),Weekend_As_Holiday="YES",COUNTIF(Holidays!$A$6:$A$58,'Cycle Calendar'!$D134)&gt;0),"H",IF(AND(OR($C134=6,$C134=7),Weekend_As_Holiday="NO",COUNTIF(Holidays!$A$6:$A$58,'Cycle Calendar'!$D134)&gt;0),"W",IF(OR($C134=6,$C134=7),"W",IF(COUNTIF(Holidays!$A$6:$A$58,'Cycle Calendar'!$D134)&gt;0,"H","R"))))</f>
        <v>W</v>
      </c>
      <c r="F134" s="20" t="str">
        <f t="shared" ref="F134:F197" si="13">E134&amp;C134</f>
        <v>W6</v>
      </c>
    </row>
    <row r="135" spans="1:6" x14ac:dyDescent="0.2">
      <c r="A135" s="20">
        <v>4</v>
      </c>
      <c r="B135" s="20">
        <f t="shared" ref="B135:B198" si="14">IF(A135=A134,B134+1,1)</f>
        <v>28</v>
      </c>
      <c r="C135" s="20">
        <f t="shared" si="12"/>
        <v>7</v>
      </c>
      <c r="D135" s="21">
        <f t="shared" si="10"/>
        <v>46152</v>
      </c>
      <c r="E135" s="22" t="str">
        <f>IF(AND(OR($C135=6,$C135=7),Weekend_As_Holiday="YES",COUNTIF(Holidays!$A$6:$A$58,'Cycle Calendar'!$D135)&gt;0),"H",IF(AND(OR($C135=6,$C135=7),Weekend_As_Holiday="NO",COUNTIF(Holidays!$A$6:$A$58,'Cycle Calendar'!$D135)&gt;0),"W",IF(OR($C135=6,$C135=7),"W",IF(COUNTIF(Holidays!$A$6:$A$58,'Cycle Calendar'!$D135)&gt;0,"H","R"))))</f>
        <v>W</v>
      </c>
      <c r="F135" s="20" t="str">
        <f t="shared" si="13"/>
        <v>W7</v>
      </c>
    </row>
    <row r="136" spans="1:6" x14ac:dyDescent="0.2">
      <c r="A136" s="20">
        <v>5</v>
      </c>
      <c r="B136" s="20">
        <f t="shared" si="14"/>
        <v>1</v>
      </c>
      <c r="C136" s="20">
        <f t="shared" si="12"/>
        <v>1</v>
      </c>
      <c r="D136" s="21">
        <f t="shared" ref="D136:D199" si="15">D135+1</f>
        <v>46153</v>
      </c>
      <c r="E136" s="22" t="str">
        <f>IF(AND(OR($C136=6,$C136=7),Weekend_As_Holiday="YES",COUNTIF(Holidays!$A$6:$A$58,'Cycle Calendar'!$D136)&gt;0),"H",IF(AND(OR($C136=6,$C136=7),Weekend_As_Holiday="NO",COUNTIF(Holidays!$A$6:$A$58,'Cycle Calendar'!$D136)&gt;0),"W",IF(OR($C136=6,$C136=7),"W",IF(COUNTIF(Holidays!$A$6:$A$58,'Cycle Calendar'!$D136)&gt;0,"H","R"))))</f>
        <v>R</v>
      </c>
      <c r="F136" s="20" t="str">
        <f t="shared" si="13"/>
        <v>R1</v>
      </c>
    </row>
    <row r="137" spans="1:6" x14ac:dyDescent="0.2">
      <c r="A137" s="20">
        <f t="shared" ref="A134:A197" si="16">IF(Calendar_Type="Calendar-Based",MONTH(D137),INT(((ROW(A132)-1)/(Days_per_Cycle+Number_Of_Weekends)))*1+1)</f>
        <v>5</v>
      </c>
      <c r="B137" s="20">
        <f t="shared" si="14"/>
        <v>2</v>
      </c>
      <c r="C137" s="20">
        <f t="shared" ref="C137:C200" si="17">WEEKDAY(D137,2)</f>
        <v>2</v>
      </c>
      <c r="D137" s="21">
        <f t="shared" si="15"/>
        <v>46154</v>
      </c>
      <c r="E137" s="22" t="str">
        <f>IF(AND(OR($C137=6,$C137=7),Weekend_As_Holiday="YES",COUNTIF(Holidays!$A$6:$A$58,'Cycle Calendar'!$D137)&gt;0),"H",IF(AND(OR($C137=6,$C137=7),Weekend_As_Holiday="NO",COUNTIF(Holidays!$A$6:$A$58,'Cycle Calendar'!$D137)&gt;0),"W",IF(OR($C137=6,$C137=7),"W",IF(COUNTIF(Holidays!$A$6:$A$58,'Cycle Calendar'!$D137)&gt;0,"H","R"))))</f>
        <v>R</v>
      </c>
      <c r="F137" s="20" t="str">
        <f t="shared" si="13"/>
        <v>R2</v>
      </c>
    </row>
    <row r="138" spans="1:6" x14ac:dyDescent="0.2">
      <c r="A138" s="20">
        <f t="shared" si="16"/>
        <v>5</v>
      </c>
      <c r="B138" s="20">
        <f t="shared" si="14"/>
        <v>3</v>
      </c>
      <c r="C138" s="20">
        <f t="shared" si="17"/>
        <v>3</v>
      </c>
      <c r="D138" s="21">
        <f t="shared" si="15"/>
        <v>46155</v>
      </c>
      <c r="E138" s="22" t="str">
        <f>IF(AND(OR($C138=6,$C138=7),Weekend_As_Holiday="YES",COUNTIF(Holidays!$A$6:$A$58,'Cycle Calendar'!$D138)&gt;0),"H",IF(AND(OR($C138=6,$C138=7),Weekend_As_Holiday="NO",COUNTIF(Holidays!$A$6:$A$58,'Cycle Calendar'!$D138)&gt;0),"W",IF(OR($C138=6,$C138=7),"W",IF(COUNTIF(Holidays!$A$6:$A$58,'Cycle Calendar'!$D138)&gt;0,"H","R"))))</f>
        <v>R</v>
      </c>
      <c r="F138" s="20" t="str">
        <f t="shared" si="13"/>
        <v>R3</v>
      </c>
    </row>
    <row r="139" spans="1:6" x14ac:dyDescent="0.2">
      <c r="A139" s="20">
        <f t="shared" si="16"/>
        <v>5</v>
      </c>
      <c r="B139" s="20">
        <f t="shared" si="14"/>
        <v>4</v>
      </c>
      <c r="C139" s="20">
        <f t="shared" si="17"/>
        <v>4</v>
      </c>
      <c r="D139" s="21">
        <f t="shared" si="15"/>
        <v>46156</v>
      </c>
      <c r="E139" s="22" t="str">
        <f>IF(AND(OR($C139=6,$C139=7),Weekend_As_Holiday="YES",COUNTIF(Holidays!$A$6:$A$58,'Cycle Calendar'!$D139)&gt;0),"H",IF(AND(OR($C139=6,$C139=7),Weekend_As_Holiday="NO",COUNTIF(Holidays!$A$6:$A$58,'Cycle Calendar'!$D139)&gt;0),"W",IF(OR($C139=6,$C139=7),"W",IF(COUNTIF(Holidays!$A$6:$A$58,'Cycle Calendar'!$D139)&gt;0,"H","R"))))</f>
        <v>R</v>
      </c>
      <c r="F139" s="20" t="str">
        <f t="shared" si="13"/>
        <v>R4</v>
      </c>
    </row>
    <row r="140" spans="1:6" x14ac:dyDescent="0.2">
      <c r="A140" s="20">
        <f t="shared" si="16"/>
        <v>5</v>
      </c>
      <c r="B140" s="20">
        <f t="shared" si="14"/>
        <v>5</v>
      </c>
      <c r="C140" s="20">
        <f t="shared" si="17"/>
        <v>5</v>
      </c>
      <c r="D140" s="21">
        <f t="shared" si="15"/>
        <v>46157</v>
      </c>
      <c r="E140" s="22" t="str">
        <f>IF(AND(OR($C140=6,$C140=7),Weekend_As_Holiday="YES",COUNTIF(Holidays!$A$6:$A$58,'Cycle Calendar'!$D140)&gt;0),"H",IF(AND(OR($C140=6,$C140=7),Weekend_As_Holiday="NO",COUNTIF(Holidays!$A$6:$A$58,'Cycle Calendar'!$D140)&gt;0),"W",IF(OR($C140=6,$C140=7),"W",IF(COUNTIF(Holidays!$A$6:$A$58,'Cycle Calendar'!$D140)&gt;0,"H","R"))))</f>
        <v>R</v>
      </c>
      <c r="F140" s="20" t="str">
        <f t="shared" si="13"/>
        <v>R5</v>
      </c>
    </row>
    <row r="141" spans="1:6" x14ac:dyDescent="0.2">
      <c r="A141" s="20">
        <f t="shared" si="16"/>
        <v>5</v>
      </c>
      <c r="B141" s="20">
        <f t="shared" si="14"/>
        <v>6</v>
      </c>
      <c r="C141" s="20">
        <f t="shared" si="17"/>
        <v>6</v>
      </c>
      <c r="D141" s="21">
        <f t="shared" si="15"/>
        <v>46158</v>
      </c>
      <c r="E141" s="22" t="str">
        <f>IF(AND(OR($C141=6,$C141=7),Weekend_As_Holiday="YES",COUNTIF(Holidays!$A$6:$A$58,'Cycle Calendar'!$D141)&gt;0),"H",IF(AND(OR($C141=6,$C141=7),Weekend_As_Holiday="NO",COUNTIF(Holidays!$A$6:$A$58,'Cycle Calendar'!$D141)&gt;0),"W",IF(OR($C141=6,$C141=7),"W",IF(COUNTIF(Holidays!$A$6:$A$58,'Cycle Calendar'!$D141)&gt;0,"H","R"))))</f>
        <v>W</v>
      </c>
      <c r="F141" s="20" t="str">
        <f t="shared" si="13"/>
        <v>W6</v>
      </c>
    </row>
    <row r="142" spans="1:6" x14ac:dyDescent="0.2">
      <c r="A142" s="20">
        <f t="shared" si="16"/>
        <v>5</v>
      </c>
      <c r="B142" s="20">
        <f t="shared" si="14"/>
        <v>7</v>
      </c>
      <c r="C142" s="20">
        <f t="shared" si="17"/>
        <v>7</v>
      </c>
      <c r="D142" s="21">
        <f t="shared" si="15"/>
        <v>46159</v>
      </c>
      <c r="E142" s="22" t="str">
        <f>IF(AND(OR($C142=6,$C142=7),Weekend_As_Holiday="YES",COUNTIF(Holidays!$A$6:$A$58,'Cycle Calendar'!$D142)&gt;0),"H",IF(AND(OR($C142=6,$C142=7),Weekend_As_Holiday="NO",COUNTIF(Holidays!$A$6:$A$58,'Cycle Calendar'!$D142)&gt;0),"W",IF(OR($C142=6,$C142=7),"W",IF(COUNTIF(Holidays!$A$6:$A$58,'Cycle Calendar'!$D142)&gt;0,"H","R"))))</f>
        <v>W</v>
      </c>
      <c r="F142" s="20" t="str">
        <f t="shared" si="13"/>
        <v>W7</v>
      </c>
    </row>
    <row r="143" spans="1:6" x14ac:dyDescent="0.2">
      <c r="A143" s="20">
        <f t="shared" si="16"/>
        <v>5</v>
      </c>
      <c r="B143" s="20">
        <f t="shared" si="14"/>
        <v>8</v>
      </c>
      <c r="C143" s="20">
        <f t="shared" si="17"/>
        <v>1</v>
      </c>
      <c r="D143" s="21">
        <f t="shared" si="15"/>
        <v>46160</v>
      </c>
      <c r="E143" s="22" t="str">
        <f>IF(AND(OR($C143=6,$C143=7),Weekend_As_Holiday="YES",COUNTIF(Holidays!$A$6:$A$58,'Cycle Calendar'!$D143)&gt;0),"H",IF(AND(OR($C143=6,$C143=7),Weekend_As_Holiday="NO",COUNTIF(Holidays!$A$6:$A$58,'Cycle Calendar'!$D143)&gt;0),"W",IF(OR($C143=6,$C143=7),"W",IF(COUNTIF(Holidays!$A$6:$A$58,'Cycle Calendar'!$D143)&gt;0,"H","R"))))</f>
        <v>R</v>
      </c>
      <c r="F143" s="20" t="str">
        <f t="shared" si="13"/>
        <v>R1</v>
      </c>
    </row>
    <row r="144" spans="1:6" x14ac:dyDescent="0.2">
      <c r="A144" s="20">
        <f t="shared" si="16"/>
        <v>5</v>
      </c>
      <c r="B144" s="20">
        <f t="shared" si="14"/>
        <v>9</v>
      </c>
      <c r="C144" s="20">
        <f t="shared" si="17"/>
        <v>2</v>
      </c>
      <c r="D144" s="21">
        <f t="shared" si="15"/>
        <v>46161</v>
      </c>
      <c r="E144" s="22" t="str">
        <f>IF(AND(OR($C144=6,$C144=7),Weekend_As_Holiday="YES",COUNTIF(Holidays!$A$6:$A$58,'Cycle Calendar'!$D144)&gt;0),"H",IF(AND(OR($C144=6,$C144=7),Weekend_As_Holiday="NO",COUNTIF(Holidays!$A$6:$A$58,'Cycle Calendar'!$D144)&gt;0),"W",IF(OR($C144=6,$C144=7),"W",IF(COUNTIF(Holidays!$A$6:$A$58,'Cycle Calendar'!$D144)&gt;0,"H","R"))))</f>
        <v>R</v>
      </c>
      <c r="F144" s="20" t="str">
        <f t="shared" si="13"/>
        <v>R2</v>
      </c>
    </row>
    <row r="145" spans="1:6" x14ac:dyDescent="0.2">
      <c r="A145" s="20">
        <f t="shared" si="16"/>
        <v>5</v>
      </c>
      <c r="B145" s="20">
        <f t="shared" si="14"/>
        <v>10</v>
      </c>
      <c r="C145" s="20">
        <f t="shared" si="17"/>
        <v>3</v>
      </c>
      <c r="D145" s="21">
        <f t="shared" si="15"/>
        <v>46162</v>
      </c>
      <c r="E145" s="22" t="str">
        <f>IF(AND(OR($C145=6,$C145=7),Weekend_As_Holiday="YES",COUNTIF(Holidays!$A$6:$A$58,'Cycle Calendar'!$D145)&gt;0),"H",IF(AND(OR($C145=6,$C145=7),Weekend_As_Holiday="NO",COUNTIF(Holidays!$A$6:$A$58,'Cycle Calendar'!$D145)&gt;0),"W",IF(OR($C145=6,$C145=7),"W",IF(COUNTIF(Holidays!$A$6:$A$58,'Cycle Calendar'!$D145)&gt;0,"H","R"))))</f>
        <v>R</v>
      </c>
      <c r="F145" s="20" t="str">
        <f t="shared" si="13"/>
        <v>R3</v>
      </c>
    </row>
    <row r="146" spans="1:6" x14ac:dyDescent="0.2">
      <c r="A146" s="20">
        <f t="shared" si="16"/>
        <v>5</v>
      </c>
      <c r="B146" s="20">
        <f t="shared" si="14"/>
        <v>11</v>
      </c>
      <c r="C146" s="20">
        <f t="shared" si="17"/>
        <v>4</v>
      </c>
      <c r="D146" s="21">
        <f t="shared" si="15"/>
        <v>46163</v>
      </c>
      <c r="E146" s="22" t="str">
        <f>IF(AND(OR($C146=6,$C146=7),Weekend_As_Holiday="YES",COUNTIF(Holidays!$A$6:$A$58,'Cycle Calendar'!$D146)&gt;0),"H",IF(AND(OR($C146=6,$C146=7),Weekend_As_Holiday="NO",COUNTIF(Holidays!$A$6:$A$58,'Cycle Calendar'!$D146)&gt;0),"W",IF(OR($C146=6,$C146=7),"W",IF(COUNTIF(Holidays!$A$6:$A$58,'Cycle Calendar'!$D146)&gt;0,"H","R"))))</f>
        <v>R</v>
      </c>
      <c r="F146" s="20" t="str">
        <f t="shared" si="13"/>
        <v>R4</v>
      </c>
    </row>
    <row r="147" spans="1:6" x14ac:dyDescent="0.2">
      <c r="A147" s="20">
        <f t="shared" si="16"/>
        <v>5</v>
      </c>
      <c r="B147" s="20">
        <f t="shared" si="14"/>
        <v>12</v>
      </c>
      <c r="C147" s="20">
        <f t="shared" si="17"/>
        <v>5</v>
      </c>
      <c r="D147" s="21">
        <f t="shared" si="15"/>
        <v>46164</v>
      </c>
      <c r="E147" s="22" t="str">
        <f>IF(AND(OR($C147=6,$C147=7),Weekend_As_Holiday="YES",COUNTIF(Holidays!$A$6:$A$58,'Cycle Calendar'!$D147)&gt;0),"H",IF(AND(OR($C147=6,$C147=7),Weekend_As_Holiday="NO",COUNTIF(Holidays!$A$6:$A$58,'Cycle Calendar'!$D147)&gt;0),"W",IF(OR($C147=6,$C147=7),"W",IF(COUNTIF(Holidays!$A$6:$A$58,'Cycle Calendar'!$D147)&gt;0,"H","R"))))</f>
        <v>R</v>
      </c>
      <c r="F147" s="20" t="str">
        <f t="shared" si="13"/>
        <v>R5</v>
      </c>
    </row>
    <row r="148" spans="1:6" x14ac:dyDescent="0.2">
      <c r="A148" s="20">
        <f t="shared" si="16"/>
        <v>5</v>
      </c>
      <c r="B148" s="20">
        <f t="shared" si="14"/>
        <v>13</v>
      </c>
      <c r="C148" s="20">
        <f t="shared" si="17"/>
        <v>6</v>
      </c>
      <c r="D148" s="21">
        <f t="shared" si="15"/>
        <v>46165</v>
      </c>
      <c r="E148" s="22" t="str">
        <f>IF(AND(OR($C148=6,$C148=7),Weekend_As_Holiday="YES",COUNTIF(Holidays!$A$6:$A$58,'Cycle Calendar'!$D148)&gt;0),"H",IF(AND(OR($C148=6,$C148=7),Weekend_As_Holiday="NO",COUNTIF(Holidays!$A$6:$A$58,'Cycle Calendar'!$D148)&gt;0),"W",IF(OR($C148=6,$C148=7),"W",IF(COUNTIF(Holidays!$A$6:$A$58,'Cycle Calendar'!$D148)&gt;0,"H","R"))))</f>
        <v>W</v>
      </c>
      <c r="F148" s="20" t="str">
        <f t="shared" si="13"/>
        <v>W6</v>
      </c>
    </row>
    <row r="149" spans="1:6" x14ac:dyDescent="0.2">
      <c r="A149" s="20">
        <f t="shared" si="16"/>
        <v>5</v>
      </c>
      <c r="B149" s="20">
        <f t="shared" si="14"/>
        <v>14</v>
      </c>
      <c r="C149" s="20">
        <f t="shared" si="17"/>
        <v>7</v>
      </c>
      <c r="D149" s="21">
        <f t="shared" si="15"/>
        <v>46166</v>
      </c>
      <c r="E149" s="22" t="str">
        <f>IF(AND(OR($C149=6,$C149=7),Weekend_As_Holiday="YES",COUNTIF(Holidays!$A$6:$A$58,'Cycle Calendar'!$D149)&gt;0),"H",IF(AND(OR($C149=6,$C149=7),Weekend_As_Holiday="NO",COUNTIF(Holidays!$A$6:$A$58,'Cycle Calendar'!$D149)&gt;0),"W",IF(OR($C149=6,$C149=7),"W",IF(COUNTIF(Holidays!$A$6:$A$58,'Cycle Calendar'!$D149)&gt;0,"H","R"))))</f>
        <v>W</v>
      </c>
      <c r="F149" s="20" t="str">
        <f t="shared" si="13"/>
        <v>W7</v>
      </c>
    </row>
    <row r="150" spans="1:6" x14ac:dyDescent="0.2">
      <c r="A150" s="20">
        <f t="shared" si="16"/>
        <v>5</v>
      </c>
      <c r="B150" s="20">
        <f t="shared" si="14"/>
        <v>15</v>
      </c>
      <c r="C150" s="20">
        <f t="shared" si="17"/>
        <v>1</v>
      </c>
      <c r="D150" s="21">
        <f t="shared" si="15"/>
        <v>46167</v>
      </c>
      <c r="E150" s="22" t="str">
        <f>IF(AND(OR($C150=6,$C150=7),Weekend_As_Holiday="YES",COUNTIF(Holidays!$A$6:$A$58,'Cycle Calendar'!$D150)&gt;0),"H",IF(AND(OR($C150=6,$C150=7),Weekend_As_Holiday="NO",COUNTIF(Holidays!$A$6:$A$58,'Cycle Calendar'!$D150)&gt;0),"W",IF(OR($C150=6,$C150=7),"W",IF(COUNTIF(Holidays!$A$6:$A$58,'Cycle Calendar'!$D150)&gt;0,"H","R"))))</f>
        <v>R</v>
      </c>
      <c r="F150" s="20" t="str">
        <f t="shared" si="13"/>
        <v>R1</v>
      </c>
    </row>
    <row r="151" spans="1:6" x14ac:dyDescent="0.2">
      <c r="A151" s="20">
        <f t="shared" si="16"/>
        <v>5</v>
      </c>
      <c r="B151" s="20">
        <f t="shared" si="14"/>
        <v>16</v>
      </c>
      <c r="C151" s="20">
        <f t="shared" si="17"/>
        <v>2</v>
      </c>
      <c r="D151" s="21">
        <f t="shared" si="15"/>
        <v>46168</v>
      </c>
      <c r="E151" s="22" t="str">
        <f>IF(AND(OR($C151=6,$C151=7),Weekend_As_Holiday="YES",COUNTIF(Holidays!$A$6:$A$58,'Cycle Calendar'!$D151)&gt;0),"H",IF(AND(OR($C151=6,$C151=7),Weekend_As_Holiday="NO",COUNTIF(Holidays!$A$6:$A$58,'Cycle Calendar'!$D151)&gt;0),"W",IF(OR($C151=6,$C151=7),"W",IF(COUNTIF(Holidays!$A$6:$A$58,'Cycle Calendar'!$D151)&gt;0,"H","R"))))</f>
        <v>R</v>
      </c>
      <c r="F151" s="20" t="str">
        <f t="shared" si="13"/>
        <v>R2</v>
      </c>
    </row>
    <row r="152" spans="1:6" x14ac:dyDescent="0.2">
      <c r="A152" s="20">
        <f t="shared" si="16"/>
        <v>5</v>
      </c>
      <c r="B152" s="20">
        <f t="shared" si="14"/>
        <v>17</v>
      </c>
      <c r="C152" s="20">
        <f t="shared" si="17"/>
        <v>3</v>
      </c>
      <c r="D152" s="21">
        <f t="shared" si="15"/>
        <v>46169</v>
      </c>
      <c r="E152" s="22" t="str">
        <f>IF(AND(OR($C152=6,$C152=7),Weekend_As_Holiday="YES",COUNTIF(Holidays!$A$6:$A$58,'Cycle Calendar'!$D152)&gt;0),"H",IF(AND(OR($C152=6,$C152=7),Weekend_As_Holiday="NO",COUNTIF(Holidays!$A$6:$A$58,'Cycle Calendar'!$D152)&gt;0),"W",IF(OR($C152=6,$C152=7),"W",IF(COUNTIF(Holidays!$A$6:$A$58,'Cycle Calendar'!$D152)&gt;0,"H","R"))))</f>
        <v>R</v>
      </c>
      <c r="F152" s="20" t="str">
        <f t="shared" si="13"/>
        <v>R3</v>
      </c>
    </row>
    <row r="153" spans="1:6" x14ac:dyDescent="0.2">
      <c r="A153" s="20">
        <f t="shared" si="16"/>
        <v>5</v>
      </c>
      <c r="B153" s="20">
        <f t="shared" si="14"/>
        <v>18</v>
      </c>
      <c r="C153" s="20">
        <f t="shared" si="17"/>
        <v>4</v>
      </c>
      <c r="D153" s="21">
        <f t="shared" si="15"/>
        <v>46170</v>
      </c>
      <c r="E153" s="22" t="str">
        <f>IF(AND(OR($C153=6,$C153=7),Weekend_As_Holiday="YES",COUNTIF(Holidays!$A$6:$A$58,'Cycle Calendar'!$D153)&gt;0),"H",IF(AND(OR($C153=6,$C153=7),Weekend_As_Holiday="NO",COUNTIF(Holidays!$A$6:$A$58,'Cycle Calendar'!$D153)&gt;0),"W",IF(OR($C153=6,$C153=7),"W",IF(COUNTIF(Holidays!$A$6:$A$58,'Cycle Calendar'!$D153)&gt;0,"H","R"))))</f>
        <v>R</v>
      </c>
      <c r="F153" s="20" t="str">
        <f t="shared" si="13"/>
        <v>R4</v>
      </c>
    </row>
    <row r="154" spans="1:6" x14ac:dyDescent="0.2">
      <c r="A154" s="20">
        <f t="shared" si="16"/>
        <v>5</v>
      </c>
      <c r="B154" s="20">
        <f t="shared" si="14"/>
        <v>19</v>
      </c>
      <c r="C154" s="20">
        <f t="shared" si="17"/>
        <v>5</v>
      </c>
      <c r="D154" s="21">
        <f t="shared" si="15"/>
        <v>46171</v>
      </c>
      <c r="E154" s="22" t="str">
        <f>IF(AND(OR($C154=6,$C154=7),Weekend_As_Holiday="YES",COUNTIF(Holidays!$A$6:$A$58,'Cycle Calendar'!$D154)&gt;0),"H",IF(AND(OR($C154=6,$C154=7),Weekend_As_Holiday="NO",COUNTIF(Holidays!$A$6:$A$58,'Cycle Calendar'!$D154)&gt;0),"W",IF(OR($C154=6,$C154=7),"W",IF(COUNTIF(Holidays!$A$6:$A$58,'Cycle Calendar'!$D154)&gt;0,"H","R"))))</f>
        <v>R</v>
      </c>
      <c r="F154" s="20" t="str">
        <f t="shared" si="13"/>
        <v>R5</v>
      </c>
    </row>
    <row r="155" spans="1:6" x14ac:dyDescent="0.2">
      <c r="A155" s="20">
        <f t="shared" si="16"/>
        <v>5</v>
      </c>
      <c r="B155" s="20">
        <f t="shared" si="14"/>
        <v>20</v>
      </c>
      <c r="C155" s="20">
        <f t="shared" si="17"/>
        <v>6</v>
      </c>
      <c r="D155" s="21">
        <f t="shared" si="15"/>
        <v>46172</v>
      </c>
      <c r="E155" s="22" t="str">
        <f>IF(AND(OR($C155=6,$C155=7),Weekend_As_Holiday="YES",COUNTIF(Holidays!$A$6:$A$58,'Cycle Calendar'!$D155)&gt;0),"H",IF(AND(OR($C155=6,$C155=7),Weekend_As_Holiday="NO",COUNTIF(Holidays!$A$6:$A$58,'Cycle Calendar'!$D155)&gt;0),"W",IF(OR($C155=6,$C155=7),"W",IF(COUNTIF(Holidays!$A$6:$A$58,'Cycle Calendar'!$D155)&gt;0,"H","R"))))</f>
        <v>W</v>
      </c>
      <c r="F155" s="20" t="str">
        <f t="shared" si="13"/>
        <v>W6</v>
      </c>
    </row>
    <row r="156" spans="1:6" x14ac:dyDescent="0.2">
      <c r="A156" s="20">
        <f t="shared" si="16"/>
        <v>5</v>
      </c>
      <c r="B156" s="20">
        <f t="shared" si="14"/>
        <v>21</v>
      </c>
      <c r="C156" s="20">
        <f t="shared" si="17"/>
        <v>7</v>
      </c>
      <c r="D156" s="21">
        <f t="shared" si="15"/>
        <v>46173</v>
      </c>
      <c r="E156" s="22" t="str">
        <f>IF(AND(OR($C156=6,$C156=7),Weekend_As_Holiday="YES",COUNTIF(Holidays!$A$6:$A$58,'Cycle Calendar'!$D156)&gt;0),"H",IF(AND(OR($C156=6,$C156=7),Weekend_As_Holiday="NO",COUNTIF(Holidays!$A$6:$A$58,'Cycle Calendar'!$D156)&gt;0),"W",IF(OR($C156=6,$C156=7),"W",IF(COUNTIF(Holidays!$A$6:$A$58,'Cycle Calendar'!$D156)&gt;0,"H","R"))))</f>
        <v>W</v>
      </c>
      <c r="F156" s="20" t="str">
        <f t="shared" si="13"/>
        <v>W7</v>
      </c>
    </row>
    <row r="157" spans="1:6" x14ac:dyDescent="0.2">
      <c r="A157" s="20">
        <v>5</v>
      </c>
      <c r="B157" s="20">
        <f t="shared" si="14"/>
        <v>22</v>
      </c>
      <c r="C157" s="20">
        <f t="shared" si="17"/>
        <v>1</v>
      </c>
      <c r="D157" s="21">
        <f t="shared" si="15"/>
        <v>46174</v>
      </c>
      <c r="E157" s="22" t="str">
        <f>IF(AND(OR($C157=6,$C157=7),Weekend_As_Holiday="YES",COUNTIF(Holidays!$A$6:$A$58,'Cycle Calendar'!$D157)&gt;0),"H",IF(AND(OR($C157=6,$C157=7),Weekend_As_Holiday="NO",COUNTIF(Holidays!$A$6:$A$58,'Cycle Calendar'!$D157)&gt;0),"W",IF(OR($C157=6,$C157=7),"W",IF(COUNTIF(Holidays!$A$6:$A$58,'Cycle Calendar'!$D157)&gt;0,"H","R"))))</f>
        <v>R</v>
      </c>
      <c r="F157" s="20" t="str">
        <f t="shared" si="13"/>
        <v>R1</v>
      </c>
    </row>
    <row r="158" spans="1:6" x14ac:dyDescent="0.2">
      <c r="A158" s="20">
        <v>5</v>
      </c>
      <c r="B158" s="20">
        <f t="shared" si="14"/>
        <v>23</v>
      </c>
      <c r="C158" s="20">
        <f t="shared" si="17"/>
        <v>2</v>
      </c>
      <c r="D158" s="21">
        <f t="shared" si="15"/>
        <v>46175</v>
      </c>
      <c r="E158" s="22" t="str">
        <f>IF(AND(OR($C158=6,$C158=7),Weekend_As_Holiday="YES",COUNTIF(Holidays!$A$6:$A$58,'Cycle Calendar'!$D158)&gt;0),"H",IF(AND(OR($C158=6,$C158=7),Weekend_As_Holiday="NO",COUNTIF(Holidays!$A$6:$A$58,'Cycle Calendar'!$D158)&gt;0),"W",IF(OR($C158=6,$C158=7),"W",IF(COUNTIF(Holidays!$A$6:$A$58,'Cycle Calendar'!$D158)&gt;0,"H","R"))))</f>
        <v>R</v>
      </c>
      <c r="F158" s="20" t="str">
        <f t="shared" si="13"/>
        <v>R2</v>
      </c>
    </row>
    <row r="159" spans="1:6" x14ac:dyDescent="0.2">
      <c r="A159" s="20">
        <v>5</v>
      </c>
      <c r="B159" s="20">
        <f t="shared" si="14"/>
        <v>24</v>
      </c>
      <c r="C159" s="20">
        <f t="shared" si="17"/>
        <v>3</v>
      </c>
      <c r="D159" s="21">
        <f>D158+1</f>
        <v>46176</v>
      </c>
      <c r="E159" s="22" t="str">
        <f>IF(AND(OR($C159=6,$C159=7),Weekend_As_Holiday="YES",COUNTIF(Holidays!$A$6:$A$58,'Cycle Calendar'!$D159)&gt;0),"H",IF(AND(OR($C159=6,$C159=7),Weekend_As_Holiday="NO",COUNTIF(Holidays!$A$6:$A$58,'Cycle Calendar'!$D159)&gt;0),"W",IF(OR($C159=6,$C159=7),"W",IF(COUNTIF(Holidays!$A$6:$A$58,'Cycle Calendar'!$D159)&gt;0,"H","R"))))</f>
        <v>R</v>
      </c>
      <c r="F159" s="20" t="str">
        <f t="shared" si="13"/>
        <v>R3</v>
      </c>
    </row>
    <row r="160" spans="1:6" x14ac:dyDescent="0.2">
      <c r="A160" s="20">
        <v>5</v>
      </c>
      <c r="B160" s="20">
        <f t="shared" si="14"/>
        <v>25</v>
      </c>
      <c r="C160" s="20">
        <f t="shared" si="17"/>
        <v>4</v>
      </c>
      <c r="D160" s="21">
        <f t="shared" si="15"/>
        <v>46177</v>
      </c>
      <c r="E160" s="22" t="str">
        <f>IF(AND(OR($C160=6,$C160=7),Weekend_As_Holiday="YES",COUNTIF(Holidays!$A$6:$A$58,'Cycle Calendar'!$D160)&gt;0),"H",IF(AND(OR($C160=6,$C160=7),Weekend_As_Holiday="NO",COUNTIF(Holidays!$A$6:$A$58,'Cycle Calendar'!$D160)&gt;0),"W",IF(OR($C160=6,$C160=7),"W",IF(COUNTIF(Holidays!$A$6:$A$58,'Cycle Calendar'!$D160)&gt;0,"H","R"))))</f>
        <v>R</v>
      </c>
      <c r="F160" s="20" t="str">
        <f t="shared" si="13"/>
        <v>R4</v>
      </c>
    </row>
    <row r="161" spans="1:6" x14ac:dyDescent="0.2">
      <c r="A161" s="20">
        <v>5</v>
      </c>
      <c r="B161" s="20">
        <f t="shared" si="14"/>
        <v>26</v>
      </c>
      <c r="C161" s="20">
        <f t="shared" si="17"/>
        <v>5</v>
      </c>
      <c r="D161" s="21">
        <f t="shared" si="15"/>
        <v>46178</v>
      </c>
      <c r="E161" s="22" t="str">
        <f>IF(AND(OR($C161=6,$C161=7),Weekend_As_Holiday="YES",COUNTIF(Holidays!$A$6:$A$58,'Cycle Calendar'!$D161)&gt;0),"H",IF(AND(OR($C161=6,$C161=7),Weekend_As_Holiday="NO",COUNTIF(Holidays!$A$6:$A$58,'Cycle Calendar'!$D161)&gt;0),"W",IF(OR($C161=6,$C161=7),"W",IF(COUNTIF(Holidays!$A$6:$A$58,'Cycle Calendar'!$D161)&gt;0,"H","R"))))</f>
        <v>R</v>
      </c>
      <c r="F161" s="20" t="str">
        <f t="shared" si="13"/>
        <v>R5</v>
      </c>
    </row>
    <row r="162" spans="1:6" x14ac:dyDescent="0.2">
      <c r="A162" s="20">
        <v>5</v>
      </c>
      <c r="B162" s="20">
        <f t="shared" si="14"/>
        <v>27</v>
      </c>
      <c r="C162" s="20">
        <f t="shared" si="17"/>
        <v>6</v>
      </c>
      <c r="D162" s="21">
        <f t="shared" si="15"/>
        <v>46179</v>
      </c>
      <c r="E162" s="22" t="str">
        <f>IF(AND(OR($C162=6,$C162=7),Weekend_As_Holiday="YES",COUNTIF(Holidays!$A$6:$A$58,'Cycle Calendar'!$D162)&gt;0),"H",IF(AND(OR($C162=6,$C162=7),Weekend_As_Holiday="NO",COUNTIF(Holidays!$A$6:$A$58,'Cycle Calendar'!$D162)&gt;0),"W",IF(OR($C162=6,$C162=7),"W",IF(COUNTIF(Holidays!$A$6:$A$58,'Cycle Calendar'!$D162)&gt;0,"H","R"))))</f>
        <v>W</v>
      </c>
      <c r="F162" s="20" t="str">
        <f t="shared" si="13"/>
        <v>W6</v>
      </c>
    </row>
    <row r="163" spans="1:6" x14ac:dyDescent="0.2">
      <c r="A163" s="20">
        <v>5</v>
      </c>
      <c r="B163" s="20">
        <f t="shared" si="14"/>
        <v>28</v>
      </c>
      <c r="C163" s="20">
        <f t="shared" si="17"/>
        <v>7</v>
      </c>
      <c r="D163" s="21">
        <f t="shared" si="15"/>
        <v>46180</v>
      </c>
      <c r="E163" s="22" t="str">
        <f>IF(AND(OR($C163=6,$C163=7),Weekend_As_Holiday="YES",COUNTIF(Holidays!$A$6:$A$58,'Cycle Calendar'!$D163)&gt;0),"H",IF(AND(OR($C163=6,$C163=7),Weekend_As_Holiday="NO",COUNTIF(Holidays!$A$6:$A$58,'Cycle Calendar'!$D163)&gt;0),"W",IF(OR($C163=6,$C163=7),"W",IF(COUNTIF(Holidays!$A$6:$A$58,'Cycle Calendar'!$D163)&gt;0,"H","R"))))</f>
        <v>W</v>
      </c>
      <c r="F163" s="20" t="str">
        <f t="shared" si="13"/>
        <v>W7</v>
      </c>
    </row>
    <row r="164" spans="1:6" x14ac:dyDescent="0.2">
      <c r="A164" s="20">
        <v>6</v>
      </c>
      <c r="B164" s="20">
        <f t="shared" si="14"/>
        <v>1</v>
      </c>
      <c r="C164" s="20">
        <f t="shared" si="17"/>
        <v>1</v>
      </c>
      <c r="D164" s="21">
        <f t="shared" si="15"/>
        <v>46181</v>
      </c>
      <c r="E164" s="22" t="str">
        <f>IF(AND(OR($C164=6,$C164=7),Weekend_As_Holiday="YES",COUNTIF(Holidays!$A$6:$A$58,'Cycle Calendar'!$D164)&gt;0),"H",IF(AND(OR($C164=6,$C164=7),Weekend_As_Holiday="NO",COUNTIF(Holidays!$A$6:$A$58,'Cycle Calendar'!$D164)&gt;0),"W",IF(OR($C164=6,$C164=7),"W",IF(COUNTIF(Holidays!$A$6:$A$58,'Cycle Calendar'!$D164)&gt;0,"H","R"))))</f>
        <v>R</v>
      </c>
      <c r="F164" s="20" t="str">
        <f t="shared" si="13"/>
        <v>R1</v>
      </c>
    </row>
    <row r="165" spans="1:6" x14ac:dyDescent="0.2">
      <c r="A165" s="20">
        <v>6</v>
      </c>
      <c r="B165" s="20">
        <f t="shared" si="14"/>
        <v>2</v>
      </c>
      <c r="C165" s="20">
        <f t="shared" si="17"/>
        <v>2</v>
      </c>
      <c r="D165" s="21">
        <f t="shared" si="15"/>
        <v>46182</v>
      </c>
      <c r="E165" s="22" t="str">
        <f>IF(AND(OR($C165=6,$C165=7),Weekend_As_Holiday="YES",COUNTIF(Holidays!$A$6:$A$58,'Cycle Calendar'!$D165)&gt;0),"H",IF(AND(OR($C165=6,$C165=7),Weekend_As_Holiday="NO",COUNTIF(Holidays!$A$6:$A$58,'Cycle Calendar'!$D165)&gt;0),"W",IF(OR($C165=6,$C165=7),"W",IF(COUNTIF(Holidays!$A$6:$A$58,'Cycle Calendar'!$D165)&gt;0,"H","R"))))</f>
        <v>R</v>
      </c>
      <c r="F165" s="20" t="str">
        <f t="shared" si="13"/>
        <v>R2</v>
      </c>
    </row>
    <row r="166" spans="1:6" x14ac:dyDescent="0.2">
      <c r="A166" s="20">
        <v>6</v>
      </c>
      <c r="B166" s="20">
        <f t="shared" si="14"/>
        <v>3</v>
      </c>
      <c r="C166" s="20">
        <f t="shared" si="17"/>
        <v>3</v>
      </c>
      <c r="D166" s="21">
        <f t="shared" si="15"/>
        <v>46183</v>
      </c>
      <c r="E166" s="22" t="str">
        <f>IF(AND(OR($C166=6,$C166=7),Weekend_As_Holiday="YES",COUNTIF(Holidays!$A$6:$A$58,'Cycle Calendar'!$D166)&gt;0),"H",IF(AND(OR($C166=6,$C166=7),Weekend_As_Holiday="NO",COUNTIF(Holidays!$A$6:$A$58,'Cycle Calendar'!$D166)&gt;0),"W",IF(OR($C166=6,$C166=7),"W",IF(COUNTIF(Holidays!$A$6:$A$58,'Cycle Calendar'!$D166)&gt;0,"H","R"))))</f>
        <v>R</v>
      </c>
      <c r="F166" s="20" t="str">
        <f t="shared" si="13"/>
        <v>R3</v>
      </c>
    </row>
    <row r="167" spans="1:6" x14ac:dyDescent="0.2">
      <c r="A167" s="20">
        <v>6</v>
      </c>
      <c r="B167" s="20">
        <f t="shared" si="14"/>
        <v>4</v>
      </c>
      <c r="C167" s="20">
        <f t="shared" si="17"/>
        <v>4</v>
      </c>
      <c r="D167" s="21">
        <f t="shared" si="15"/>
        <v>46184</v>
      </c>
      <c r="E167" s="22" t="str">
        <f>IF(AND(OR($C167=6,$C167=7),Weekend_As_Holiday="YES",COUNTIF(Holidays!$A$6:$A$58,'Cycle Calendar'!$D167)&gt;0),"H",IF(AND(OR($C167=6,$C167=7),Weekend_As_Holiday="NO",COUNTIF(Holidays!$A$6:$A$58,'Cycle Calendar'!$D167)&gt;0),"W",IF(OR($C167=6,$C167=7),"W",IF(COUNTIF(Holidays!$A$6:$A$58,'Cycle Calendar'!$D167)&gt;0,"H","R"))))</f>
        <v>R</v>
      </c>
      <c r="F167" s="20" t="str">
        <f t="shared" si="13"/>
        <v>R4</v>
      </c>
    </row>
    <row r="168" spans="1:6" x14ac:dyDescent="0.2">
      <c r="A168" s="20">
        <v>6</v>
      </c>
      <c r="B168" s="20">
        <f t="shared" si="14"/>
        <v>5</v>
      </c>
      <c r="C168" s="20">
        <f t="shared" si="17"/>
        <v>5</v>
      </c>
      <c r="D168" s="21">
        <f t="shared" si="15"/>
        <v>46185</v>
      </c>
      <c r="E168" s="22" t="str">
        <f>IF(AND(OR($C168=6,$C168=7),Weekend_As_Holiday="YES",COUNTIF(Holidays!$A$6:$A$58,'Cycle Calendar'!$D168)&gt;0),"H",IF(AND(OR($C168=6,$C168=7),Weekend_As_Holiday="NO",COUNTIF(Holidays!$A$6:$A$58,'Cycle Calendar'!$D168)&gt;0),"W",IF(OR($C168=6,$C168=7),"W",IF(COUNTIF(Holidays!$A$6:$A$58,'Cycle Calendar'!$D168)&gt;0,"H","R"))))</f>
        <v>H</v>
      </c>
      <c r="F168" s="20" t="str">
        <f t="shared" si="13"/>
        <v>H5</v>
      </c>
    </row>
    <row r="169" spans="1:6" x14ac:dyDescent="0.2">
      <c r="A169" s="20">
        <v>6</v>
      </c>
      <c r="B169" s="20">
        <f t="shared" si="14"/>
        <v>6</v>
      </c>
      <c r="C169" s="20">
        <f t="shared" si="17"/>
        <v>6</v>
      </c>
      <c r="D169" s="21">
        <f t="shared" si="15"/>
        <v>46186</v>
      </c>
      <c r="E169" s="22" t="str">
        <f>IF(AND(OR($C169=6,$C169=7),Weekend_As_Holiday="YES",COUNTIF(Holidays!$A$6:$A$58,'Cycle Calendar'!$D169)&gt;0),"H",IF(AND(OR($C169=6,$C169=7),Weekend_As_Holiday="NO",COUNTIF(Holidays!$A$6:$A$58,'Cycle Calendar'!$D169)&gt;0),"W",IF(OR($C169=6,$C169=7),"W",IF(COUNTIF(Holidays!$A$6:$A$58,'Cycle Calendar'!$D169)&gt;0,"H","R"))))</f>
        <v>W</v>
      </c>
      <c r="F169" s="20" t="str">
        <f t="shared" si="13"/>
        <v>W6</v>
      </c>
    </row>
    <row r="170" spans="1:6" x14ac:dyDescent="0.2">
      <c r="A170" s="20">
        <v>6</v>
      </c>
      <c r="B170" s="20">
        <f t="shared" si="14"/>
        <v>7</v>
      </c>
      <c r="C170" s="20">
        <f t="shared" si="17"/>
        <v>7</v>
      </c>
      <c r="D170" s="21">
        <f t="shared" si="15"/>
        <v>46187</v>
      </c>
      <c r="E170" s="22" t="str">
        <f>IF(AND(OR($C170=6,$C170=7),Weekend_As_Holiday="YES",COUNTIF(Holidays!$A$6:$A$58,'Cycle Calendar'!$D170)&gt;0),"H",IF(AND(OR($C170=6,$C170=7),Weekend_As_Holiday="NO",COUNTIF(Holidays!$A$6:$A$58,'Cycle Calendar'!$D170)&gt;0),"W",IF(OR($C170=6,$C170=7),"W",IF(COUNTIF(Holidays!$A$6:$A$58,'Cycle Calendar'!$D170)&gt;0,"H","R"))))</f>
        <v>W</v>
      </c>
      <c r="F170" s="20" t="str">
        <f t="shared" si="13"/>
        <v>W7</v>
      </c>
    </row>
    <row r="171" spans="1:6" x14ac:dyDescent="0.2">
      <c r="A171" s="20">
        <v>6</v>
      </c>
      <c r="B171" s="20">
        <f t="shared" si="14"/>
        <v>8</v>
      </c>
      <c r="C171" s="20">
        <f t="shared" si="17"/>
        <v>1</v>
      </c>
      <c r="D171" s="21">
        <f t="shared" si="15"/>
        <v>46188</v>
      </c>
      <c r="E171" s="22" t="str">
        <f>IF(AND(OR($C171=6,$C171=7),Weekend_As_Holiday="YES",COUNTIF(Holidays!$A$6:$A$58,'Cycle Calendar'!$D171)&gt;0),"H",IF(AND(OR($C171=6,$C171=7),Weekend_As_Holiday="NO",COUNTIF(Holidays!$A$6:$A$58,'Cycle Calendar'!$D171)&gt;0),"W",IF(OR($C171=6,$C171=7),"W",IF(COUNTIF(Holidays!$A$6:$A$58,'Cycle Calendar'!$D171)&gt;0,"H","R"))))</f>
        <v>R</v>
      </c>
      <c r="F171" s="20" t="str">
        <f t="shared" si="13"/>
        <v>R1</v>
      </c>
    </row>
    <row r="172" spans="1:6" x14ac:dyDescent="0.2">
      <c r="A172" s="20">
        <f t="shared" si="16"/>
        <v>6</v>
      </c>
      <c r="B172" s="20">
        <f t="shared" si="14"/>
        <v>9</v>
      </c>
      <c r="C172" s="20">
        <f t="shared" si="17"/>
        <v>2</v>
      </c>
      <c r="D172" s="21">
        <f t="shared" si="15"/>
        <v>46189</v>
      </c>
      <c r="E172" s="22" t="str">
        <f>IF(AND(OR($C172=6,$C172=7),Weekend_As_Holiday="YES",COUNTIF(Holidays!$A$6:$A$58,'Cycle Calendar'!$D172)&gt;0),"H",IF(AND(OR($C172=6,$C172=7),Weekend_As_Holiday="NO",COUNTIF(Holidays!$A$6:$A$58,'Cycle Calendar'!$D172)&gt;0),"W",IF(OR($C172=6,$C172=7),"W",IF(COUNTIF(Holidays!$A$6:$A$58,'Cycle Calendar'!$D172)&gt;0,"H","R"))))</f>
        <v>R</v>
      </c>
      <c r="F172" s="20" t="str">
        <f t="shared" si="13"/>
        <v>R2</v>
      </c>
    </row>
    <row r="173" spans="1:6" x14ac:dyDescent="0.2">
      <c r="A173" s="20">
        <f t="shared" si="16"/>
        <v>6</v>
      </c>
      <c r="B173" s="20">
        <f t="shared" si="14"/>
        <v>10</v>
      </c>
      <c r="C173" s="20">
        <f t="shared" si="17"/>
        <v>3</v>
      </c>
      <c r="D173" s="21">
        <f t="shared" si="15"/>
        <v>46190</v>
      </c>
      <c r="E173" s="22" t="str">
        <f>IF(AND(OR($C173=6,$C173=7),Weekend_As_Holiday="YES",COUNTIF(Holidays!$A$6:$A$58,'Cycle Calendar'!$D173)&gt;0),"H",IF(AND(OR($C173=6,$C173=7),Weekend_As_Holiday="NO",COUNTIF(Holidays!$A$6:$A$58,'Cycle Calendar'!$D173)&gt;0),"W",IF(OR($C173=6,$C173=7),"W",IF(COUNTIF(Holidays!$A$6:$A$58,'Cycle Calendar'!$D173)&gt;0,"H","R"))))</f>
        <v>R</v>
      </c>
      <c r="F173" s="20" t="str">
        <f t="shared" si="13"/>
        <v>R3</v>
      </c>
    </row>
    <row r="174" spans="1:6" x14ac:dyDescent="0.2">
      <c r="A174" s="20">
        <f t="shared" si="16"/>
        <v>6</v>
      </c>
      <c r="B174" s="20">
        <f t="shared" si="14"/>
        <v>11</v>
      </c>
      <c r="C174" s="20">
        <f t="shared" si="17"/>
        <v>4</v>
      </c>
      <c r="D174" s="21">
        <f t="shared" si="15"/>
        <v>46191</v>
      </c>
      <c r="E174" s="22" t="str">
        <f>IF(AND(OR($C174=6,$C174=7),Weekend_As_Holiday="YES",COUNTIF(Holidays!$A$6:$A$58,'Cycle Calendar'!$D174)&gt;0),"H",IF(AND(OR($C174=6,$C174=7),Weekend_As_Holiday="NO",COUNTIF(Holidays!$A$6:$A$58,'Cycle Calendar'!$D174)&gt;0),"W",IF(OR($C174=6,$C174=7),"W",IF(COUNTIF(Holidays!$A$6:$A$58,'Cycle Calendar'!$D174)&gt;0,"H","R"))))</f>
        <v>R</v>
      </c>
      <c r="F174" s="20" t="str">
        <f t="shared" si="13"/>
        <v>R4</v>
      </c>
    </row>
    <row r="175" spans="1:6" x14ac:dyDescent="0.2">
      <c r="A175" s="20">
        <f t="shared" si="16"/>
        <v>6</v>
      </c>
      <c r="B175" s="20">
        <f t="shared" si="14"/>
        <v>12</v>
      </c>
      <c r="C175" s="20">
        <f t="shared" si="17"/>
        <v>5</v>
      </c>
      <c r="D175" s="21">
        <f t="shared" si="15"/>
        <v>46192</v>
      </c>
      <c r="E175" s="22" t="str">
        <f>IF(AND(OR($C175=6,$C175=7),Weekend_As_Holiday="YES",COUNTIF(Holidays!$A$6:$A$58,'Cycle Calendar'!$D175)&gt;0),"H",IF(AND(OR($C175=6,$C175=7),Weekend_As_Holiday="NO",COUNTIF(Holidays!$A$6:$A$58,'Cycle Calendar'!$D175)&gt;0),"W",IF(OR($C175=6,$C175=7),"W",IF(COUNTIF(Holidays!$A$6:$A$58,'Cycle Calendar'!$D175)&gt;0,"H","R"))))</f>
        <v>R</v>
      </c>
      <c r="F175" s="20" t="str">
        <f t="shared" si="13"/>
        <v>R5</v>
      </c>
    </row>
    <row r="176" spans="1:6" x14ac:dyDescent="0.2">
      <c r="A176" s="20">
        <f t="shared" si="16"/>
        <v>6</v>
      </c>
      <c r="B176" s="20">
        <f t="shared" si="14"/>
        <v>13</v>
      </c>
      <c r="C176" s="20">
        <f t="shared" si="17"/>
        <v>6</v>
      </c>
      <c r="D176" s="21">
        <f t="shared" si="15"/>
        <v>46193</v>
      </c>
      <c r="E176" s="22" t="str">
        <f>IF(AND(OR($C176=6,$C176=7),Weekend_As_Holiday="YES",COUNTIF(Holidays!$A$6:$A$58,'Cycle Calendar'!$D176)&gt;0),"H",IF(AND(OR($C176=6,$C176=7),Weekend_As_Holiday="NO",COUNTIF(Holidays!$A$6:$A$58,'Cycle Calendar'!$D176)&gt;0),"W",IF(OR($C176=6,$C176=7),"W",IF(COUNTIF(Holidays!$A$6:$A$58,'Cycle Calendar'!$D176)&gt;0,"H","R"))))</f>
        <v>W</v>
      </c>
      <c r="F176" s="20" t="str">
        <f t="shared" si="13"/>
        <v>W6</v>
      </c>
    </row>
    <row r="177" spans="1:6" x14ac:dyDescent="0.2">
      <c r="A177" s="20">
        <f t="shared" si="16"/>
        <v>6</v>
      </c>
      <c r="B177" s="20">
        <f t="shared" si="14"/>
        <v>14</v>
      </c>
      <c r="C177" s="20">
        <f t="shared" si="17"/>
        <v>7</v>
      </c>
      <c r="D177" s="21">
        <f t="shared" si="15"/>
        <v>46194</v>
      </c>
      <c r="E177" s="22" t="str">
        <f>IF(AND(OR($C177=6,$C177=7),Weekend_As_Holiday="YES",COUNTIF(Holidays!$A$6:$A$58,'Cycle Calendar'!$D177)&gt;0),"H",IF(AND(OR($C177=6,$C177=7),Weekend_As_Holiday="NO",COUNTIF(Holidays!$A$6:$A$58,'Cycle Calendar'!$D177)&gt;0),"W",IF(OR($C177=6,$C177=7),"W",IF(COUNTIF(Holidays!$A$6:$A$58,'Cycle Calendar'!$D177)&gt;0,"H","R"))))</f>
        <v>W</v>
      </c>
      <c r="F177" s="20" t="str">
        <f t="shared" si="13"/>
        <v>W7</v>
      </c>
    </row>
    <row r="178" spans="1:6" x14ac:dyDescent="0.2">
      <c r="A178" s="20">
        <f t="shared" si="16"/>
        <v>6</v>
      </c>
      <c r="B178" s="20">
        <f t="shared" si="14"/>
        <v>15</v>
      </c>
      <c r="C178" s="20">
        <f t="shared" si="17"/>
        <v>1</v>
      </c>
      <c r="D178" s="21">
        <f t="shared" si="15"/>
        <v>46195</v>
      </c>
      <c r="E178" s="22" t="str">
        <f>IF(AND(OR($C178=6,$C178=7),Weekend_As_Holiday="YES",COUNTIF(Holidays!$A$6:$A$58,'Cycle Calendar'!$D178)&gt;0),"H",IF(AND(OR($C178=6,$C178=7),Weekend_As_Holiday="NO",COUNTIF(Holidays!$A$6:$A$58,'Cycle Calendar'!$D178)&gt;0),"W",IF(OR($C178=6,$C178=7),"W",IF(COUNTIF(Holidays!$A$6:$A$58,'Cycle Calendar'!$D178)&gt;0,"H","R"))))</f>
        <v>R</v>
      </c>
      <c r="F178" s="20" t="str">
        <f t="shared" si="13"/>
        <v>R1</v>
      </c>
    </row>
    <row r="179" spans="1:6" x14ac:dyDescent="0.2">
      <c r="A179" s="20">
        <f t="shared" si="16"/>
        <v>6</v>
      </c>
      <c r="B179" s="20">
        <f t="shared" si="14"/>
        <v>16</v>
      </c>
      <c r="C179" s="20">
        <f t="shared" si="17"/>
        <v>2</v>
      </c>
      <c r="D179" s="21">
        <f t="shared" si="15"/>
        <v>46196</v>
      </c>
      <c r="E179" s="22" t="str">
        <f>IF(AND(OR($C179=6,$C179=7),Weekend_As_Holiday="YES",COUNTIF(Holidays!$A$6:$A$58,'Cycle Calendar'!$D179)&gt;0),"H",IF(AND(OR($C179=6,$C179=7),Weekend_As_Holiday="NO",COUNTIF(Holidays!$A$6:$A$58,'Cycle Calendar'!$D179)&gt;0),"W",IF(OR($C179=6,$C179=7),"W",IF(COUNTIF(Holidays!$A$6:$A$58,'Cycle Calendar'!$D179)&gt;0,"H","R"))))</f>
        <v>R</v>
      </c>
      <c r="F179" s="20" t="str">
        <f t="shared" si="13"/>
        <v>R2</v>
      </c>
    </row>
    <row r="180" spans="1:6" x14ac:dyDescent="0.2">
      <c r="A180" s="20">
        <f t="shared" si="16"/>
        <v>6</v>
      </c>
      <c r="B180" s="20">
        <f t="shared" si="14"/>
        <v>17</v>
      </c>
      <c r="C180" s="20">
        <f t="shared" si="17"/>
        <v>3</v>
      </c>
      <c r="D180" s="21">
        <f t="shared" si="15"/>
        <v>46197</v>
      </c>
      <c r="E180" s="22" t="str">
        <f>IF(AND(OR($C180=6,$C180=7),Weekend_As_Holiday="YES",COUNTIF(Holidays!$A$6:$A$58,'Cycle Calendar'!$D180)&gt;0),"H",IF(AND(OR($C180=6,$C180=7),Weekend_As_Holiday="NO",COUNTIF(Holidays!$A$6:$A$58,'Cycle Calendar'!$D180)&gt;0),"W",IF(OR($C180=6,$C180=7),"W",IF(COUNTIF(Holidays!$A$6:$A$58,'Cycle Calendar'!$D180)&gt;0,"H","R"))))</f>
        <v>R</v>
      </c>
      <c r="F180" s="20" t="str">
        <f t="shared" si="13"/>
        <v>R3</v>
      </c>
    </row>
    <row r="181" spans="1:6" x14ac:dyDescent="0.2">
      <c r="A181" s="20">
        <f t="shared" si="16"/>
        <v>6</v>
      </c>
      <c r="B181" s="20">
        <f t="shared" si="14"/>
        <v>18</v>
      </c>
      <c r="C181" s="20">
        <f t="shared" si="17"/>
        <v>4</v>
      </c>
      <c r="D181" s="21">
        <f t="shared" si="15"/>
        <v>46198</v>
      </c>
      <c r="E181" s="22" t="str">
        <f>IF(AND(OR($C181=6,$C181=7),Weekend_As_Holiday="YES",COUNTIF(Holidays!$A$6:$A$58,'Cycle Calendar'!$D181)&gt;0),"H",IF(AND(OR($C181=6,$C181=7),Weekend_As_Holiday="NO",COUNTIF(Holidays!$A$6:$A$58,'Cycle Calendar'!$D181)&gt;0),"W",IF(OR($C181=6,$C181=7),"W",IF(COUNTIF(Holidays!$A$6:$A$58,'Cycle Calendar'!$D181)&gt;0,"H","R"))))</f>
        <v>R</v>
      </c>
      <c r="F181" s="20" t="str">
        <f t="shared" si="13"/>
        <v>R4</v>
      </c>
    </row>
    <row r="182" spans="1:6" x14ac:dyDescent="0.2">
      <c r="A182" s="20">
        <f t="shared" si="16"/>
        <v>6</v>
      </c>
      <c r="B182" s="20">
        <f t="shared" si="14"/>
        <v>19</v>
      </c>
      <c r="C182" s="20">
        <f t="shared" si="17"/>
        <v>5</v>
      </c>
      <c r="D182" s="21">
        <f t="shared" si="15"/>
        <v>46199</v>
      </c>
      <c r="E182" s="22" t="str">
        <f>IF(AND(OR($C182=6,$C182=7),Weekend_As_Holiday="YES",COUNTIF(Holidays!$A$6:$A$58,'Cycle Calendar'!$D182)&gt;0),"H",IF(AND(OR($C182=6,$C182=7),Weekend_As_Holiday="NO",COUNTIF(Holidays!$A$6:$A$58,'Cycle Calendar'!$D182)&gt;0),"W",IF(OR($C182=6,$C182=7),"W",IF(COUNTIF(Holidays!$A$6:$A$58,'Cycle Calendar'!$D182)&gt;0,"H","R"))))</f>
        <v>R</v>
      </c>
      <c r="F182" s="20" t="str">
        <f t="shared" si="13"/>
        <v>R5</v>
      </c>
    </row>
    <row r="183" spans="1:6" x14ac:dyDescent="0.2">
      <c r="A183" s="20">
        <f t="shared" si="16"/>
        <v>6</v>
      </c>
      <c r="B183" s="20">
        <f t="shared" si="14"/>
        <v>20</v>
      </c>
      <c r="C183" s="20">
        <f t="shared" si="17"/>
        <v>6</v>
      </c>
      <c r="D183" s="21">
        <f t="shared" si="15"/>
        <v>46200</v>
      </c>
      <c r="E183" s="22" t="str">
        <f>IF(AND(OR($C183=6,$C183=7),Weekend_As_Holiday="YES",COUNTIF(Holidays!$A$6:$A$58,'Cycle Calendar'!$D183)&gt;0),"H",IF(AND(OR($C183=6,$C183=7),Weekend_As_Holiday="NO",COUNTIF(Holidays!$A$6:$A$58,'Cycle Calendar'!$D183)&gt;0),"W",IF(OR($C183=6,$C183=7),"W",IF(COUNTIF(Holidays!$A$6:$A$58,'Cycle Calendar'!$D183)&gt;0,"H","R"))))</f>
        <v>W</v>
      </c>
      <c r="F183" s="20" t="str">
        <f t="shared" si="13"/>
        <v>W6</v>
      </c>
    </row>
    <row r="184" spans="1:6" x14ac:dyDescent="0.2">
      <c r="A184" s="20">
        <f t="shared" si="16"/>
        <v>6</v>
      </c>
      <c r="B184" s="20">
        <f t="shared" si="14"/>
        <v>21</v>
      </c>
      <c r="C184" s="20">
        <f t="shared" si="17"/>
        <v>7</v>
      </c>
      <c r="D184" s="21">
        <f t="shared" si="15"/>
        <v>46201</v>
      </c>
      <c r="E184" s="22" t="str">
        <f>IF(AND(OR($C184=6,$C184=7),Weekend_As_Holiday="YES",COUNTIF(Holidays!$A$6:$A$58,'Cycle Calendar'!$D184)&gt;0),"H",IF(AND(OR($C184=6,$C184=7),Weekend_As_Holiday="NO",COUNTIF(Holidays!$A$6:$A$58,'Cycle Calendar'!$D184)&gt;0),"W",IF(OR($C184=6,$C184=7),"W",IF(COUNTIF(Holidays!$A$6:$A$58,'Cycle Calendar'!$D184)&gt;0,"H","R"))))</f>
        <v>W</v>
      </c>
      <c r="F184" s="20" t="str">
        <f t="shared" si="13"/>
        <v>W7</v>
      </c>
    </row>
    <row r="185" spans="1:6" x14ac:dyDescent="0.2">
      <c r="A185" s="20">
        <f t="shared" si="16"/>
        <v>6</v>
      </c>
      <c r="B185" s="20">
        <f t="shared" si="14"/>
        <v>22</v>
      </c>
      <c r="C185" s="20">
        <f t="shared" si="17"/>
        <v>1</v>
      </c>
      <c r="D185" s="21">
        <f t="shared" si="15"/>
        <v>46202</v>
      </c>
      <c r="E185" s="22" t="str">
        <f>IF(AND(OR($C185=6,$C185=7),Weekend_As_Holiday="YES",COUNTIF(Holidays!$A$6:$A$58,'Cycle Calendar'!$D185)&gt;0),"H",IF(AND(OR($C185=6,$C185=7),Weekend_As_Holiday="NO",COUNTIF(Holidays!$A$6:$A$58,'Cycle Calendar'!$D185)&gt;0),"W",IF(OR($C185=6,$C185=7),"W",IF(COUNTIF(Holidays!$A$6:$A$58,'Cycle Calendar'!$D185)&gt;0,"H","R"))))</f>
        <v>H</v>
      </c>
      <c r="F185" s="20" t="str">
        <f t="shared" si="13"/>
        <v>H1</v>
      </c>
    </row>
    <row r="186" spans="1:6" x14ac:dyDescent="0.2">
      <c r="A186" s="20">
        <f t="shared" si="16"/>
        <v>6</v>
      </c>
      <c r="B186" s="20">
        <f t="shared" si="14"/>
        <v>23</v>
      </c>
      <c r="C186" s="20">
        <f t="shared" si="17"/>
        <v>2</v>
      </c>
      <c r="D186" s="21">
        <f t="shared" si="15"/>
        <v>46203</v>
      </c>
      <c r="E186" s="22" t="str">
        <f>IF(AND(OR($C186=6,$C186=7),Weekend_As_Holiday="YES",COUNTIF(Holidays!$A$6:$A$58,'Cycle Calendar'!$D186)&gt;0),"H",IF(AND(OR($C186=6,$C186=7),Weekend_As_Holiday="NO",COUNTIF(Holidays!$A$6:$A$58,'Cycle Calendar'!$D186)&gt;0),"W",IF(OR($C186=6,$C186=7),"W",IF(COUNTIF(Holidays!$A$6:$A$58,'Cycle Calendar'!$D186)&gt;0,"H","R"))))</f>
        <v>H</v>
      </c>
      <c r="F186" s="20" t="str">
        <f t="shared" si="13"/>
        <v>H2</v>
      </c>
    </row>
    <row r="187" spans="1:6" x14ac:dyDescent="0.2">
      <c r="A187" s="20">
        <v>6</v>
      </c>
      <c r="B187" s="20">
        <f t="shared" si="14"/>
        <v>24</v>
      </c>
      <c r="C187" s="20">
        <f t="shared" si="17"/>
        <v>3</v>
      </c>
      <c r="D187" s="21">
        <f t="shared" si="15"/>
        <v>46204</v>
      </c>
      <c r="E187" s="22" t="str">
        <f>IF(AND(OR($C187=6,$C187=7),Weekend_As_Holiday="YES",COUNTIF(Holidays!$A$6:$A$58,'Cycle Calendar'!$D187)&gt;0),"H",IF(AND(OR($C187=6,$C187=7),Weekend_As_Holiday="NO",COUNTIF(Holidays!$A$6:$A$58,'Cycle Calendar'!$D187)&gt;0),"W",IF(OR($C187=6,$C187=7),"W",IF(COUNTIF(Holidays!$A$6:$A$58,'Cycle Calendar'!$D187)&gt;0,"H","R"))))</f>
        <v>H</v>
      </c>
      <c r="F187" s="20" t="str">
        <f t="shared" si="13"/>
        <v>H3</v>
      </c>
    </row>
    <row r="188" spans="1:6" x14ac:dyDescent="0.2">
      <c r="A188" s="20">
        <v>6</v>
      </c>
      <c r="B188" s="20">
        <f t="shared" si="14"/>
        <v>25</v>
      </c>
      <c r="C188" s="20">
        <f t="shared" si="17"/>
        <v>4</v>
      </c>
      <c r="D188" s="21">
        <f t="shared" si="15"/>
        <v>46205</v>
      </c>
      <c r="E188" s="22" t="str">
        <f>IF(AND(OR($C188=6,$C188=7),Weekend_As_Holiday="YES",COUNTIF(Holidays!$A$6:$A$58,'Cycle Calendar'!$D188)&gt;0),"H",IF(AND(OR($C188=6,$C188=7),Weekend_As_Holiday="NO",COUNTIF(Holidays!$A$6:$A$58,'Cycle Calendar'!$D188)&gt;0),"W",IF(OR($C188=6,$C188=7),"W",IF(COUNTIF(Holidays!$A$6:$A$58,'Cycle Calendar'!$D188)&gt;0,"H","R"))))</f>
        <v>H</v>
      </c>
      <c r="F188" s="20" t="str">
        <f t="shared" si="13"/>
        <v>H4</v>
      </c>
    </row>
    <row r="189" spans="1:6" x14ac:dyDescent="0.2">
      <c r="A189" s="20">
        <v>6</v>
      </c>
      <c r="B189" s="20">
        <f t="shared" si="14"/>
        <v>26</v>
      </c>
      <c r="C189" s="20">
        <f t="shared" si="17"/>
        <v>5</v>
      </c>
      <c r="D189" s="21">
        <f t="shared" si="15"/>
        <v>46206</v>
      </c>
      <c r="E189" s="22" t="str">
        <f>IF(AND(OR($C189=6,$C189=7),Weekend_As_Holiday="YES",COUNTIF(Holidays!$A$6:$A$58,'Cycle Calendar'!$D189)&gt;0),"H",IF(AND(OR($C189=6,$C189=7),Weekend_As_Holiday="NO",COUNTIF(Holidays!$A$6:$A$58,'Cycle Calendar'!$D189)&gt;0),"W",IF(OR($C189=6,$C189=7),"W",IF(COUNTIF(Holidays!$A$6:$A$58,'Cycle Calendar'!$D189)&gt;0,"H","R"))))</f>
        <v>H</v>
      </c>
      <c r="F189" s="20" t="str">
        <f t="shared" si="13"/>
        <v>H5</v>
      </c>
    </row>
    <row r="190" spans="1:6" x14ac:dyDescent="0.2">
      <c r="A190" s="20">
        <v>6</v>
      </c>
      <c r="B190" s="20">
        <f t="shared" si="14"/>
        <v>27</v>
      </c>
      <c r="C190" s="20">
        <f t="shared" si="17"/>
        <v>6</v>
      </c>
      <c r="D190" s="21">
        <f t="shared" si="15"/>
        <v>46207</v>
      </c>
      <c r="E190" s="22" t="str">
        <f>IF(AND(OR($C190=6,$C190=7),Weekend_As_Holiday="YES",COUNTIF(Holidays!$A$6:$A$58,'Cycle Calendar'!$D190)&gt;0),"H",IF(AND(OR($C190=6,$C190=7),Weekend_As_Holiday="NO",COUNTIF(Holidays!$A$6:$A$58,'Cycle Calendar'!$D190)&gt;0),"W",IF(OR($C190=6,$C190=7),"W",IF(COUNTIF(Holidays!$A$6:$A$58,'Cycle Calendar'!$D190)&gt;0,"H","R"))))</f>
        <v>W</v>
      </c>
      <c r="F190" s="20" t="str">
        <f t="shared" si="13"/>
        <v>W6</v>
      </c>
    </row>
    <row r="191" spans="1:6" x14ac:dyDescent="0.2">
      <c r="A191" s="20">
        <v>6</v>
      </c>
      <c r="B191" s="20">
        <f t="shared" si="14"/>
        <v>28</v>
      </c>
      <c r="C191" s="20">
        <f t="shared" si="17"/>
        <v>7</v>
      </c>
      <c r="D191" s="21">
        <f t="shared" si="15"/>
        <v>46208</v>
      </c>
      <c r="E191" s="22" t="str">
        <f>IF(AND(OR($C191=6,$C191=7),Weekend_As_Holiday="YES",COUNTIF(Holidays!$A$6:$A$58,'Cycle Calendar'!$D191)&gt;0),"H",IF(AND(OR($C191=6,$C191=7),Weekend_As_Holiday="NO",COUNTIF(Holidays!$A$6:$A$58,'Cycle Calendar'!$D191)&gt;0),"W",IF(OR($C191=6,$C191=7),"W",IF(COUNTIF(Holidays!$A$6:$A$58,'Cycle Calendar'!$D191)&gt;0,"H","R"))))</f>
        <v>W</v>
      </c>
      <c r="F191" s="20" t="str">
        <f t="shared" si="13"/>
        <v>W7</v>
      </c>
    </row>
    <row r="192" spans="1:6" x14ac:dyDescent="0.2">
      <c r="A192" s="20">
        <v>6</v>
      </c>
      <c r="B192" s="20">
        <f t="shared" si="14"/>
        <v>29</v>
      </c>
      <c r="C192" s="20">
        <f t="shared" si="17"/>
        <v>1</v>
      </c>
      <c r="D192" s="21">
        <f t="shared" si="15"/>
        <v>46209</v>
      </c>
      <c r="E192" s="22" t="str">
        <f>IF(AND(OR($C192=6,$C192=7),Weekend_As_Holiday="YES",COUNTIF(Holidays!$A$6:$A$58,'Cycle Calendar'!$D192)&gt;0),"H",IF(AND(OR($C192=6,$C192=7),Weekend_As_Holiday="NO",COUNTIF(Holidays!$A$6:$A$58,'Cycle Calendar'!$D192)&gt;0),"W",IF(OR($C192=6,$C192=7),"W",IF(COUNTIF(Holidays!$A$6:$A$58,'Cycle Calendar'!$D192)&gt;0,"H","R"))))</f>
        <v>R</v>
      </c>
      <c r="F192" s="20" t="str">
        <f t="shared" si="13"/>
        <v>R1</v>
      </c>
    </row>
    <row r="193" spans="1:6" x14ac:dyDescent="0.2">
      <c r="A193" s="20">
        <v>6</v>
      </c>
      <c r="B193" s="20">
        <f t="shared" si="14"/>
        <v>30</v>
      </c>
      <c r="C193" s="20">
        <f t="shared" si="17"/>
        <v>2</v>
      </c>
      <c r="D193" s="21">
        <f t="shared" si="15"/>
        <v>46210</v>
      </c>
      <c r="E193" s="22" t="str">
        <f>IF(AND(OR($C193=6,$C193=7),Weekend_As_Holiday="YES",COUNTIF(Holidays!$A$6:$A$58,'Cycle Calendar'!$D193)&gt;0),"H",IF(AND(OR($C193=6,$C193=7),Weekend_As_Holiday="NO",COUNTIF(Holidays!$A$6:$A$58,'Cycle Calendar'!$D193)&gt;0),"W",IF(OR($C193=6,$C193=7),"W",IF(COUNTIF(Holidays!$A$6:$A$58,'Cycle Calendar'!$D193)&gt;0,"H","R"))))</f>
        <v>R</v>
      </c>
      <c r="F193" s="20" t="str">
        <f t="shared" si="13"/>
        <v>R2</v>
      </c>
    </row>
    <row r="194" spans="1:6" x14ac:dyDescent="0.2">
      <c r="A194" s="20">
        <v>6</v>
      </c>
      <c r="B194" s="20">
        <f t="shared" si="14"/>
        <v>31</v>
      </c>
      <c r="C194" s="20">
        <f t="shared" si="17"/>
        <v>3</v>
      </c>
      <c r="D194" s="21">
        <f t="shared" si="15"/>
        <v>46211</v>
      </c>
      <c r="E194" s="22" t="str">
        <f>IF(AND(OR($C194=6,$C194=7),Weekend_As_Holiday="YES",COUNTIF(Holidays!$A$6:$A$58,'Cycle Calendar'!$D194)&gt;0),"H",IF(AND(OR($C194=6,$C194=7),Weekend_As_Holiday="NO",COUNTIF(Holidays!$A$6:$A$58,'Cycle Calendar'!$D194)&gt;0),"W",IF(OR($C194=6,$C194=7),"W",IF(COUNTIF(Holidays!$A$6:$A$58,'Cycle Calendar'!$D194)&gt;0,"H","R"))))</f>
        <v>R</v>
      </c>
      <c r="F194" s="20" t="str">
        <f t="shared" si="13"/>
        <v>R3</v>
      </c>
    </row>
    <row r="195" spans="1:6" x14ac:dyDescent="0.2">
      <c r="A195" s="20">
        <v>6</v>
      </c>
      <c r="B195" s="20">
        <f t="shared" si="14"/>
        <v>32</v>
      </c>
      <c r="C195" s="20">
        <f t="shared" si="17"/>
        <v>4</v>
      </c>
      <c r="D195" s="21">
        <f t="shared" si="15"/>
        <v>46212</v>
      </c>
      <c r="E195" s="22" t="str">
        <f>IF(AND(OR($C195=6,$C195=7),Weekend_As_Holiday="YES",COUNTIF(Holidays!$A$6:$A$58,'Cycle Calendar'!$D195)&gt;0),"H",IF(AND(OR($C195=6,$C195=7),Weekend_As_Holiday="NO",COUNTIF(Holidays!$A$6:$A$58,'Cycle Calendar'!$D195)&gt;0),"W",IF(OR($C195=6,$C195=7),"W",IF(COUNTIF(Holidays!$A$6:$A$58,'Cycle Calendar'!$D195)&gt;0,"H","R"))))</f>
        <v>R</v>
      </c>
      <c r="F195" s="20" t="str">
        <f t="shared" si="13"/>
        <v>R4</v>
      </c>
    </row>
    <row r="196" spans="1:6" x14ac:dyDescent="0.2">
      <c r="A196" s="20">
        <v>6</v>
      </c>
      <c r="B196" s="20">
        <f t="shared" si="14"/>
        <v>33</v>
      </c>
      <c r="C196" s="20">
        <f t="shared" si="17"/>
        <v>5</v>
      </c>
      <c r="D196" s="21">
        <f t="shared" si="15"/>
        <v>46213</v>
      </c>
      <c r="E196" s="22" t="str">
        <f>IF(AND(OR($C196=6,$C196=7),Weekend_As_Holiday="YES",COUNTIF(Holidays!$A$6:$A$58,'Cycle Calendar'!$D196)&gt;0),"H",IF(AND(OR($C196=6,$C196=7),Weekend_As_Holiday="NO",COUNTIF(Holidays!$A$6:$A$58,'Cycle Calendar'!$D196)&gt;0),"W",IF(OR($C196=6,$C196=7),"W",IF(COUNTIF(Holidays!$A$6:$A$58,'Cycle Calendar'!$D196)&gt;0,"H","R"))))</f>
        <v>R</v>
      </c>
      <c r="F196" s="20" t="str">
        <f t="shared" si="13"/>
        <v>R5</v>
      </c>
    </row>
    <row r="197" spans="1:6" x14ac:dyDescent="0.2">
      <c r="A197" s="20">
        <v>6</v>
      </c>
      <c r="B197" s="20">
        <f t="shared" si="14"/>
        <v>34</v>
      </c>
      <c r="C197" s="20">
        <f t="shared" si="17"/>
        <v>6</v>
      </c>
      <c r="D197" s="21">
        <f t="shared" si="15"/>
        <v>46214</v>
      </c>
      <c r="E197" s="22" t="str">
        <f>IF(AND(OR($C197=6,$C197=7),Weekend_As_Holiday="YES",COUNTIF(Holidays!$A$6:$A$58,'Cycle Calendar'!$D197)&gt;0),"H",IF(AND(OR($C197=6,$C197=7),Weekend_As_Holiday="NO",COUNTIF(Holidays!$A$6:$A$58,'Cycle Calendar'!$D197)&gt;0),"W",IF(OR($C197=6,$C197=7),"W",IF(COUNTIF(Holidays!$A$6:$A$58,'Cycle Calendar'!$D197)&gt;0,"H","R"))))</f>
        <v>W</v>
      </c>
      <c r="F197" s="20" t="str">
        <f t="shared" si="13"/>
        <v>W6</v>
      </c>
    </row>
    <row r="198" spans="1:6" x14ac:dyDescent="0.2">
      <c r="A198" s="20">
        <v>6</v>
      </c>
      <c r="B198" s="20">
        <f t="shared" si="14"/>
        <v>35</v>
      </c>
      <c r="C198" s="20">
        <f t="shared" si="17"/>
        <v>7</v>
      </c>
      <c r="D198" s="21">
        <f t="shared" si="15"/>
        <v>46215</v>
      </c>
      <c r="E198" s="22" t="str">
        <f>IF(AND(OR($C198=6,$C198=7),Weekend_As_Holiday="YES",COUNTIF(Holidays!$A$6:$A$58,'Cycle Calendar'!$D198)&gt;0),"H",IF(AND(OR($C198=6,$C198=7),Weekend_As_Holiday="NO",COUNTIF(Holidays!$A$6:$A$58,'Cycle Calendar'!$D198)&gt;0),"W",IF(OR($C198=6,$C198=7),"W",IF(COUNTIF(Holidays!$A$6:$A$58,'Cycle Calendar'!$D198)&gt;0,"H","R"))))</f>
        <v>W</v>
      </c>
      <c r="F198" s="20" t="str">
        <f t="shared" ref="F198:F261" si="18">E198&amp;C198</f>
        <v>W7</v>
      </c>
    </row>
    <row r="199" spans="1:6" x14ac:dyDescent="0.2">
      <c r="A199" s="20">
        <f t="shared" ref="A198:A261" si="19">IF(Calendar_Type="Calendar-Based",MONTH(D199),INT(((ROW(A194)-1)/(Days_per_Cycle+Number_Of_Weekends)))*1+1)</f>
        <v>7</v>
      </c>
      <c r="B199" s="20">
        <f t="shared" ref="B199:B262" si="20">IF(A199=A198,B198+1,1)</f>
        <v>1</v>
      </c>
      <c r="C199" s="20">
        <f t="shared" si="17"/>
        <v>1</v>
      </c>
      <c r="D199" s="21">
        <f t="shared" si="15"/>
        <v>46216</v>
      </c>
      <c r="E199" s="22" t="str">
        <f>IF(AND(OR($C199=6,$C199=7),Weekend_As_Holiday="YES",COUNTIF(Holidays!$A$6:$A$58,'Cycle Calendar'!$D199)&gt;0),"H",IF(AND(OR($C199=6,$C199=7),Weekend_As_Holiday="NO",COUNTIF(Holidays!$A$6:$A$58,'Cycle Calendar'!$D199)&gt;0),"W",IF(OR($C199=6,$C199=7),"W",IF(COUNTIF(Holidays!$A$6:$A$58,'Cycle Calendar'!$D199)&gt;0,"H","R"))))</f>
        <v>R</v>
      </c>
      <c r="F199" s="20" t="str">
        <f t="shared" si="18"/>
        <v>R1</v>
      </c>
    </row>
    <row r="200" spans="1:6" x14ac:dyDescent="0.2">
      <c r="A200" s="20">
        <f t="shared" si="19"/>
        <v>7</v>
      </c>
      <c r="B200" s="20">
        <f t="shared" si="20"/>
        <v>2</v>
      </c>
      <c r="C200" s="20">
        <f t="shared" si="17"/>
        <v>2</v>
      </c>
      <c r="D200" s="21">
        <f t="shared" ref="D200:D263" si="21">D199+1</f>
        <v>46217</v>
      </c>
      <c r="E200" s="22" t="str">
        <f>IF(AND(OR($C200=6,$C200=7),Weekend_As_Holiday="YES",COUNTIF(Holidays!$A$6:$A$58,'Cycle Calendar'!$D200)&gt;0),"H",IF(AND(OR($C200=6,$C200=7),Weekend_As_Holiday="NO",COUNTIF(Holidays!$A$6:$A$58,'Cycle Calendar'!$D200)&gt;0),"W",IF(OR($C200=6,$C200=7),"W",IF(COUNTIF(Holidays!$A$6:$A$58,'Cycle Calendar'!$D200)&gt;0,"H","R"))))</f>
        <v>R</v>
      </c>
      <c r="F200" s="20" t="str">
        <f t="shared" si="18"/>
        <v>R2</v>
      </c>
    </row>
    <row r="201" spans="1:6" x14ac:dyDescent="0.2">
      <c r="A201" s="20">
        <f t="shared" si="19"/>
        <v>7</v>
      </c>
      <c r="B201" s="20">
        <f t="shared" si="20"/>
        <v>3</v>
      </c>
      <c r="C201" s="20">
        <f t="shared" ref="C201:C264" si="22">WEEKDAY(D201,2)</f>
        <v>3</v>
      </c>
      <c r="D201" s="21">
        <f t="shared" si="21"/>
        <v>46218</v>
      </c>
      <c r="E201" s="22" t="str">
        <f>IF(AND(OR($C201=6,$C201=7),Weekend_As_Holiday="YES",COUNTIF(Holidays!$A$6:$A$58,'Cycle Calendar'!$D201)&gt;0),"H",IF(AND(OR($C201=6,$C201=7),Weekend_As_Holiday="NO",COUNTIF(Holidays!$A$6:$A$58,'Cycle Calendar'!$D201)&gt;0),"W",IF(OR($C201=6,$C201=7),"W",IF(COUNTIF(Holidays!$A$6:$A$58,'Cycle Calendar'!$D201)&gt;0,"H","R"))))</f>
        <v>R</v>
      </c>
      <c r="F201" s="20" t="str">
        <f t="shared" si="18"/>
        <v>R3</v>
      </c>
    </row>
    <row r="202" spans="1:6" x14ac:dyDescent="0.2">
      <c r="A202" s="20">
        <f t="shared" si="19"/>
        <v>7</v>
      </c>
      <c r="B202" s="20">
        <f t="shared" si="20"/>
        <v>4</v>
      </c>
      <c r="C202" s="20">
        <f t="shared" si="22"/>
        <v>4</v>
      </c>
      <c r="D202" s="21">
        <f t="shared" si="21"/>
        <v>46219</v>
      </c>
      <c r="E202" s="22" t="str">
        <f>IF(AND(OR($C202=6,$C202=7),Weekend_As_Holiday="YES",COUNTIF(Holidays!$A$6:$A$58,'Cycle Calendar'!$D202)&gt;0),"H",IF(AND(OR($C202=6,$C202=7),Weekend_As_Holiday="NO",COUNTIF(Holidays!$A$6:$A$58,'Cycle Calendar'!$D202)&gt;0),"W",IF(OR($C202=6,$C202=7),"W",IF(COUNTIF(Holidays!$A$6:$A$58,'Cycle Calendar'!$D202)&gt;0,"H","R"))))</f>
        <v>R</v>
      </c>
      <c r="F202" s="20" t="str">
        <f t="shared" si="18"/>
        <v>R4</v>
      </c>
    </row>
    <row r="203" spans="1:6" x14ac:dyDescent="0.2">
      <c r="A203" s="20">
        <f t="shared" si="19"/>
        <v>7</v>
      </c>
      <c r="B203" s="20">
        <f t="shared" si="20"/>
        <v>5</v>
      </c>
      <c r="C203" s="20">
        <f t="shared" si="22"/>
        <v>5</v>
      </c>
      <c r="D203" s="21">
        <f t="shared" si="21"/>
        <v>46220</v>
      </c>
      <c r="E203" s="22" t="str">
        <f>IF(AND(OR($C203=6,$C203=7),Weekend_As_Holiday="YES",COUNTIF(Holidays!$A$6:$A$58,'Cycle Calendar'!$D203)&gt;0),"H",IF(AND(OR($C203=6,$C203=7),Weekend_As_Holiday="NO",COUNTIF(Holidays!$A$6:$A$58,'Cycle Calendar'!$D203)&gt;0),"W",IF(OR($C203=6,$C203=7),"W",IF(COUNTIF(Holidays!$A$6:$A$58,'Cycle Calendar'!$D203)&gt;0,"H","R"))))</f>
        <v>R</v>
      </c>
      <c r="F203" s="20" t="str">
        <f t="shared" si="18"/>
        <v>R5</v>
      </c>
    </row>
    <row r="204" spans="1:6" x14ac:dyDescent="0.2">
      <c r="A204" s="20">
        <f t="shared" si="19"/>
        <v>7</v>
      </c>
      <c r="B204" s="20">
        <f t="shared" si="20"/>
        <v>6</v>
      </c>
      <c r="C204" s="20">
        <f t="shared" si="22"/>
        <v>6</v>
      </c>
      <c r="D204" s="21">
        <f t="shared" si="21"/>
        <v>46221</v>
      </c>
      <c r="E204" s="22" t="str">
        <f>IF(AND(OR($C204=6,$C204=7),Weekend_As_Holiday="YES",COUNTIF(Holidays!$A$6:$A$58,'Cycle Calendar'!$D204)&gt;0),"H",IF(AND(OR($C204=6,$C204=7),Weekend_As_Holiday="NO",COUNTIF(Holidays!$A$6:$A$58,'Cycle Calendar'!$D204)&gt;0),"W",IF(OR($C204=6,$C204=7),"W",IF(COUNTIF(Holidays!$A$6:$A$58,'Cycle Calendar'!$D204)&gt;0,"H","R"))))</f>
        <v>W</v>
      </c>
      <c r="F204" s="20" t="str">
        <f t="shared" si="18"/>
        <v>W6</v>
      </c>
    </row>
    <row r="205" spans="1:6" x14ac:dyDescent="0.2">
      <c r="A205" s="20">
        <f t="shared" si="19"/>
        <v>7</v>
      </c>
      <c r="B205" s="20">
        <f t="shared" si="20"/>
        <v>7</v>
      </c>
      <c r="C205" s="20">
        <f t="shared" si="22"/>
        <v>7</v>
      </c>
      <c r="D205" s="21">
        <f t="shared" si="21"/>
        <v>46222</v>
      </c>
      <c r="E205" s="22" t="str">
        <f>IF(AND(OR($C205=6,$C205=7),Weekend_As_Holiday="YES",COUNTIF(Holidays!$A$6:$A$58,'Cycle Calendar'!$D205)&gt;0),"H",IF(AND(OR($C205=6,$C205=7),Weekend_As_Holiday="NO",COUNTIF(Holidays!$A$6:$A$58,'Cycle Calendar'!$D205)&gt;0),"W",IF(OR($C205=6,$C205=7),"W",IF(COUNTIF(Holidays!$A$6:$A$58,'Cycle Calendar'!$D205)&gt;0,"H","R"))))</f>
        <v>W</v>
      </c>
      <c r="F205" s="20" t="str">
        <f t="shared" si="18"/>
        <v>W7</v>
      </c>
    </row>
    <row r="206" spans="1:6" x14ac:dyDescent="0.2">
      <c r="A206" s="20">
        <f t="shared" si="19"/>
        <v>7</v>
      </c>
      <c r="B206" s="20">
        <f t="shared" si="20"/>
        <v>8</v>
      </c>
      <c r="C206" s="20">
        <f t="shared" si="22"/>
        <v>1</v>
      </c>
      <c r="D206" s="21">
        <f t="shared" si="21"/>
        <v>46223</v>
      </c>
      <c r="E206" s="22" t="str">
        <f>IF(AND(OR($C206=6,$C206=7),Weekend_As_Holiday="YES",COUNTIF(Holidays!$A$6:$A$58,'Cycle Calendar'!$D206)&gt;0),"H",IF(AND(OR($C206=6,$C206=7),Weekend_As_Holiday="NO",COUNTIF(Holidays!$A$6:$A$58,'Cycle Calendar'!$D206)&gt;0),"W",IF(OR($C206=6,$C206=7),"W",IF(COUNTIF(Holidays!$A$6:$A$58,'Cycle Calendar'!$D206)&gt;0,"H","R"))))</f>
        <v>R</v>
      </c>
      <c r="F206" s="20" t="str">
        <f t="shared" si="18"/>
        <v>R1</v>
      </c>
    </row>
    <row r="207" spans="1:6" x14ac:dyDescent="0.2">
      <c r="A207" s="20">
        <f t="shared" si="19"/>
        <v>7</v>
      </c>
      <c r="B207" s="20">
        <f t="shared" si="20"/>
        <v>9</v>
      </c>
      <c r="C207" s="20">
        <f t="shared" si="22"/>
        <v>2</v>
      </c>
      <c r="D207" s="21">
        <f t="shared" si="21"/>
        <v>46224</v>
      </c>
      <c r="E207" s="22" t="str">
        <f>IF(AND(OR($C207=6,$C207=7),Weekend_As_Holiday="YES",COUNTIF(Holidays!$A$6:$A$58,'Cycle Calendar'!$D207)&gt;0),"H",IF(AND(OR($C207=6,$C207=7),Weekend_As_Holiday="NO",COUNTIF(Holidays!$A$6:$A$58,'Cycle Calendar'!$D207)&gt;0),"W",IF(OR($C207=6,$C207=7),"W",IF(COUNTIF(Holidays!$A$6:$A$58,'Cycle Calendar'!$D207)&gt;0,"H","R"))))</f>
        <v>R</v>
      </c>
      <c r="F207" s="20" t="str">
        <f t="shared" si="18"/>
        <v>R2</v>
      </c>
    </row>
    <row r="208" spans="1:6" x14ac:dyDescent="0.2">
      <c r="A208" s="20">
        <f t="shared" si="19"/>
        <v>7</v>
      </c>
      <c r="B208" s="20">
        <f t="shared" si="20"/>
        <v>10</v>
      </c>
      <c r="C208" s="20">
        <f t="shared" si="22"/>
        <v>3</v>
      </c>
      <c r="D208" s="21">
        <f t="shared" si="21"/>
        <v>46225</v>
      </c>
      <c r="E208" s="22" t="str">
        <f>IF(AND(OR($C208=6,$C208=7),Weekend_As_Holiday="YES",COUNTIF(Holidays!$A$6:$A$58,'Cycle Calendar'!$D208)&gt;0),"H",IF(AND(OR($C208=6,$C208=7),Weekend_As_Holiday="NO",COUNTIF(Holidays!$A$6:$A$58,'Cycle Calendar'!$D208)&gt;0),"W",IF(OR($C208=6,$C208=7),"W",IF(COUNTIF(Holidays!$A$6:$A$58,'Cycle Calendar'!$D208)&gt;0,"H","R"))))</f>
        <v>R</v>
      </c>
      <c r="F208" s="20" t="str">
        <f t="shared" si="18"/>
        <v>R3</v>
      </c>
    </row>
    <row r="209" spans="1:6" x14ac:dyDescent="0.2">
      <c r="A209" s="20">
        <f t="shared" si="19"/>
        <v>7</v>
      </c>
      <c r="B209" s="20">
        <f t="shared" si="20"/>
        <v>11</v>
      </c>
      <c r="C209" s="20">
        <f t="shared" si="22"/>
        <v>4</v>
      </c>
      <c r="D209" s="21">
        <f t="shared" si="21"/>
        <v>46226</v>
      </c>
      <c r="E209" s="22" t="str">
        <f>IF(AND(OR($C209=6,$C209=7),Weekend_As_Holiday="YES",COUNTIF(Holidays!$A$6:$A$58,'Cycle Calendar'!$D209)&gt;0),"H",IF(AND(OR($C209=6,$C209=7),Weekend_As_Holiday="NO",COUNTIF(Holidays!$A$6:$A$58,'Cycle Calendar'!$D209)&gt;0),"W",IF(OR($C209=6,$C209=7),"W",IF(COUNTIF(Holidays!$A$6:$A$58,'Cycle Calendar'!$D209)&gt;0,"H","R"))))</f>
        <v>R</v>
      </c>
      <c r="F209" s="20" t="str">
        <f t="shared" si="18"/>
        <v>R4</v>
      </c>
    </row>
    <row r="210" spans="1:6" x14ac:dyDescent="0.2">
      <c r="A210" s="20">
        <f t="shared" si="19"/>
        <v>7</v>
      </c>
      <c r="B210" s="20">
        <f t="shared" si="20"/>
        <v>12</v>
      </c>
      <c r="C210" s="20">
        <f t="shared" si="22"/>
        <v>5</v>
      </c>
      <c r="D210" s="21">
        <f t="shared" si="21"/>
        <v>46227</v>
      </c>
      <c r="E210" s="22" t="str">
        <f>IF(AND(OR($C210=6,$C210=7),Weekend_As_Holiday="YES",COUNTIF(Holidays!$A$6:$A$58,'Cycle Calendar'!$D210)&gt;0),"H",IF(AND(OR($C210=6,$C210=7),Weekend_As_Holiday="NO",COUNTIF(Holidays!$A$6:$A$58,'Cycle Calendar'!$D210)&gt;0),"W",IF(OR($C210=6,$C210=7),"W",IF(COUNTIF(Holidays!$A$6:$A$58,'Cycle Calendar'!$D210)&gt;0,"H","R"))))</f>
        <v>R</v>
      </c>
      <c r="F210" s="20" t="str">
        <f t="shared" si="18"/>
        <v>R5</v>
      </c>
    </row>
    <row r="211" spans="1:6" x14ac:dyDescent="0.2">
      <c r="A211" s="20">
        <f t="shared" si="19"/>
        <v>7</v>
      </c>
      <c r="B211" s="20">
        <f t="shared" si="20"/>
        <v>13</v>
      </c>
      <c r="C211" s="20">
        <f t="shared" si="22"/>
        <v>6</v>
      </c>
      <c r="D211" s="21">
        <f t="shared" si="21"/>
        <v>46228</v>
      </c>
      <c r="E211" s="22" t="str">
        <f>IF(AND(OR($C211=6,$C211=7),Weekend_As_Holiday="YES",COUNTIF(Holidays!$A$6:$A$58,'Cycle Calendar'!$D211)&gt;0),"H",IF(AND(OR($C211=6,$C211=7),Weekend_As_Holiday="NO",COUNTIF(Holidays!$A$6:$A$58,'Cycle Calendar'!$D211)&gt;0),"W",IF(OR($C211=6,$C211=7),"W",IF(COUNTIF(Holidays!$A$6:$A$58,'Cycle Calendar'!$D211)&gt;0,"H","R"))))</f>
        <v>W</v>
      </c>
      <c r="F211" s="20" t="str">
        <f t="shared" si="18"/>
        <v>W6</v>
      </c>
    </row>
    <row r="212" spans="1:6" x14ac:dyDescent="0.2">
      <c r="A212" s="20">
        <f t="shared" si="19"/>
        <v>7</v>
      </c>
      <c r="B212" s="20">
        <f t="shared" si="20"/>
        <v>14</v>
      </c>
      <c r="C212" s="20">
        <f t="shared" si="22"/>
        <v>7</v>
      </c>
      <c r="D212" s="21">
        <f t="shared" si="21"/>
        <v>46229</v>
      </c>
      <c r="E212" s="22" t="str">
        <f>IF(AND(OR($C212=6,$C212=7),Weekend_As_Holiday="YES",COUNTIF(Holidays!$A$6:$A$58,'Cycle Calendar'!$D212)&gt;0),"H",IF(AND(OR($C212=6,$C212=7),Weekend_As_Holiday="NO",COUNTIF(Holidays!$A$6:$A$58,'Cycle Calendar'!$D212)&gt;0),"W",IF(OR($C212=6,$C212=7),"W",IF(COUNTIF(Holidays!$A$6:$A$58,'Cycle Calendar'!$D212)&gt;0,"H","R"))))</f>
        <v>W</v>
      </c>
      <c r="F212" s="20" t="str">
        <f t="shared" si="18"/>
        <v>W7</v>
      </c>
    </row>
    <row r="213" spans="1:6" x14ac:dyDescent="0.2">
      <c r="A213" s="20">
        <f t="shared" si="19"/>
        <v>7</v>
      </c>
      <c r="B213" s="20">
        <f t="shared" si="20"/>
        <v>15</v>
      </c>
      <c r="C213" s="20">
        <f t="shared" si="22"/>
        <v>1</v>
      </c>
      <c r="D213" s="21">
        <f t="shared" si="21"/>
        <v>46230</v>
      </c>
      <c r="E213" s="22" t="str">
        <f>IF(AND(OR($C213=6,$C213=7),Weekend_As_Holiday="YES",COUNTIF(Holidays!$A$6:$A$58,'Cycle Calendar'!$D213)&gt;0),"H",IF(AND(OR($C213=6,$C213=7),Weekend_As_Holiday="NO",COUNTIF(Holidays!$A$6:$A$58,'Cycle Calendar'!$D213)&gt;0),"W",IF(OR($C213=6,$C213=7),"W",IF(COUNTIF(Holidays!$A$6:$A$58,'Cycle Calendar'!$D213)&gt;0,"H","R"))))</f>
        <v>R</v>
      </c>
      <c r="F213" s="20" t="str">
        <f t="shared" si="18"/>
        <v>R1</v>
      </c>
    </row>
    <row r="214" spans="1:6" x14ac:dyDescent="0.2">
      <c r="A214" s="20">
        <f t="shared" si="19"/>
        <v>7</v>
      </c>
      <c r="B214" s="20">
        <f t="shared" si="20"/>
        <v>16</v>
      </c>
      <c r="C214" s="20">
        <f t="shared" si="22"/>
        <v>2</v>
      </c>
      <c r="D214" s="21">
        <f t="shared" si="21"/>
        <v>46231</v>
      </c>
      <c r="E214" s="22" t="str">
        <f>IF(AND(OR($C214=6,$C214=7),Weekend_As_Holiday="YES",COUNTIF(Holidays!$A$6:$A$58,'Cycle Calendar'!$D214)&gt;0),"H",IF(AND(OR($C214=6,$C214=7),Weekend_As_Holiday="NO",COUNTIF(Holidays!$A$6:$A$58,'Cycle Calendar'!$D214)&gt;0),"W",IF(OR($C214=6,$C214=7),"W",IF(COUNTIF(Holidays!$A$6:$A$58,'Cycle Calendar'!$D214)&gt;0,"H","R"))))</f>
        <v>R</v>
      </c>
      <c r="F214" s="20" t="str">
        <f t="shared" si="18"/>
        <v>R2</v>
      </c>
    </row>
    <row r="215" spans="1:6" x14ac:dyDescent="0.2">
      <c r="A215" s="20">
        <f t="shared" si="19"/>
        <v>7</v>
      </c>
      <c r="B215" s="20">
        <f t="shared" si="20"/>
        <v>17</v>
      </c>
      <c r="C215" s="20">
        <f t="shared" si="22"/>
        <v>3</v>
      </c>
      <c r="D215" s="21">
        <f t="shared" si="21"/>
        <v>46232</v>
      </c>
      <c r="E215" s="22" t="str">
        <f>IF(AND(OR($C215=6,$C215=7),Weekend_As_Holiday="YES",COUNTIF(Holidays!$A$6:$A$58,'Cycle Calendar'!$D215)&gt;0),"H",IF(AND(OR($C215=6,$C215=7),Weekend_As_Holiday="NO",COUNTIF(Holidays!$A$6:$A$58,'Cycle Calendar'!$D215)&gt;0),"W",IF(OR($C215=6,$C215=7),"W",IF(COUNTIF(Holidays!$A$6:$A$58,'Cycle Calendar'!$D215)&gt;0,"H","R"))))</f>
        <v>R</v>
      </c>
      <c r="F215" s="20" t="str">
        <f t="shared" si="18"/>
        <v>R3</v>
      </c>
    </row>
    <row r="216" spans="1:6" x14ac:dyDescent="0.2">
      <c r="A216" s="20">
        <f t="shared" si="19"/>
        <v>7</v>
      </c>
      <c r="B216" s="20">
        <f t="shared" si="20"/>
        <v>18</v>
      </c>
      <c r="C216" s="20">
        <f t="shared" si="22"/>
        <v>4</v>
      </c>
      <c r="D216" s="21">
        <f t="shared" si="21"/>
        <v>46233</v>
      </c>
      <c r="E216" s="22" t="str">
        <f>IF(AND(OR($C216=6,$C216=7),Weekend_As_Holiday="YES",COUNTIF(Holidays!$A$6:$A$58,'Cycle Calendar'!$D216)&gt;0),"H",IF(AND(OR($C216=6,$C216=7),Weekend_As_Holiday="NO",COUNTIF(Holidays!$A$6:$A$58,'Cycle Calendar'!$D216)&gt;0),"W",IF(OR($C216=6,$C216=7),"W",IF(COUNTIF(Holidays!$A$6:$A$58,'Cycle Calendar'!$D216)&gt;0,"H","R"))))</f>
        <v>R</v>
      </c>
      <c r="F216" s="20" t="str">
        <f t="shared" si="18"/>
        <v>R4</v>
      </c>
    </row>
    <row r="217" spans="1:6" x14ac:dyDescent="0.2">
      <c r="A217" s="20">
        <f t="shared" si="19"/>
        <v>7</v>
      </c>
      <c r="B217" s="20">
        <f t="shared" si="20"/>
        <v>19</v>
      </c>
      <c r="C217" s="20">
        <f t="shared" si="22"/>
        <v>5</v>
      </c>
      <c r="D217" s="21">
        <f t="shared" si="21"/>
        <v>46234</v>
      </c>
      <c r="E217" s="22" t="str">
        <f>IF(AND(OR($C217=6,$C217=7),Weekend_As_Holiday="YES",COUNTIF(Holidays!$A$6:$A$58,'Cycle Calendar'!$D217)&gt;0),"H",IF(AND(OR($C217=6,$C217=7),Weekend_As_Holiday="NO",COUNTIF(Holidays!$A$6:$A$58,'Cycle Calendar'!$D217)&gt;0),"W",IF(OR($C217=6,$C217=7),"W",IF(COUNTIF(Holidays!$A$6:$A$58,'Cycle Calendar'!$D217)&gt;0,"H","R"))))</f>
        <v>R</v>
      </c>
      <c r="F217" s="20" t="str">
        <f t="shared" si="18"/>
        <v>R5</v>
      </c>
    </row>
    <row r="218" spans="1:6" x14ac:dyDescent="0.2">
      <c r="A218" s="20">
        <v>7</v>
      </c>
      <c r="B218" s="20">
        <f t="shared" si="20"/>
        <v>20</v>
      </c>
      <c r="C218" s="20">
        <f t="shared" si="22"/>
        <v>6</v>
      </c>
      <c r="D218" s="21">
        <f t="shared" si="21"/>
        <v>46235</v>
      </c>
      <c r="E218" s="22" t="str">
        <f>IF(AND(OR($C218=6,$C218=7),Weekend_As_Holiday="YES",COUNTIF(Holidays!$A$6:$A$58,'Cycle Calendar'!$D218)&gt;0),"H",IF(AND(OR($C218=6,$C218=7),Weekend_As_Holiday="NO",COUNTIF(Holidays!$A$6:$A$58,'Cycle Calendar'!$D218)&gt;0),"W",IF(OR($C218=6,$C218=7),"W",IF(COUNTIF(Holidays!$A$6:$A$58,'Cycle Calendar'!$D218)&gt;0,"H","R"))))</f>
        <v>W</v>
      </c>
      <c r="F218" s="20" t="str">
        <f t="shared" si="18"/>
        <v>W6</v>
      </c>
    </row>
    <row r="219" spans="1:6" x14ac:dyDescent="0.2">
      <c r="A219" s="20">
        <v>7</v>
      </c>
      <c r="B219" s="20">
        <f t="shared" si="20"/>
        <v>21</v>
      </c>
      <c r="C219" s="20">
        <f t="shared" si="22"/>
        <v>7</v>
      </c>
      <c r="D219" s="21">
        <f t="shared" si="21"/>
        <v>46236</v>
      </c>
      <c r="E219" s="22" t="str">
        <f>IF(AND(OR($C219=6,$C219=7),Weekend_As_Holiday="YES",COUNTIF(Holidays!$A$6:$A$58,'Cycle Calendar'!$D219)&gt;0),"H",IF(AND(OR($C219=6,$C219=7),Weekend_As_Holiday="NO",COUNTIF(Holidays!$A$6:$A$58,'Cycle Calendar'!$D219)&gt;0),"W",IF(OR($C219=6,$C219=7),"W",IF(COUNTIF(Holidays!$A$6:$A$58,'Cycle Calendar'!$D219)&gt;0,"H","R"))))</f>
        <v>W</v>
      </c>
      <c r="F219" s="20" t="str">
        <f t="shared" si="18"/>
        <v>W7</v>
      </c>
    </row>
    <row r="220" spans="1:6" x14ac:dyDescent="0.2">
      <c r="A220" s="20">
        <v>7</v>
      </c>
      <c r="B220" s="20">
        <f t="shared" si="20"/>
        <v>22</v>
      </c>
      <c r="C220" s="20">
        <f t="shared" si="22"/>
        <v>1</v>
      </c>
      <c r="D220" s="21">
        <f t="shared" si="21"/>
        <v>46237</v>
      </c>
      <c r="E220" s="22" t="str">
        <f>IF(AND(OR($C220=6,$C220=7),Weekend_As_Holiday="YES",COUNTIF(Holidays!$A$6:$A$58,'Cycle Calendar'!$D220)&gt;0),"H",IF(AND(OR($C220=6,$C220=7),Weekend_As_Holiday="NO",COUNTIF(Holidays!$A$6:$A$58,'Cycle Calendar'!$D220)&gt;0),"W",IF(OR($C220=6,$C220=7),"W",IF(COUNTIF(Holidays!$A$6:$A$58,'Cycle Calendar'!$D220)&gt;0,"H","R"))))</f>
        <v>R</v>
      </c>
      <c r="F220" s="20" t="str">
        <f t="shared" si="18"/>
        <v>R1</v>
      </c>
    </row>
    <row r="221" spans="1:6" x14ac:dyDescent="0.2">
      <c r="A221" s="20">
        <v>7</v>
      </c>
      <c r="B221" s="20">
        <f t="shared" si="20"/>
        <v>23</v>
      </c>
      <c r="C221" s="20">
        <f t="shared" si="22"/>
        <v>2</v>
      </c>
      <c r="D221" s="21">
        <f t="shared" si="21"/>
        <v>46238</v>
      </c>
      <c r="E221" s="22" t="str">
        <f>IF(AND(OR($C221=6,$C221=7),Weekend_As_Holiday="YES",COUNTIF(Holidays!$A$6:$A$58,'Cycle Calendar'!$D221)&gt;0),"H",IF(AND(OR($C221=6,$C221=7),Weekend_As_Holiday="NO",COUNTIF(Holidays!$A$6:$A$58,'Cycle Calendar'!$D221)&gt;0),"W",IF(OR($C221=6,$C221=7),"W",IF(COUNTIF(Holidays!$A$6:$A$58,'Cycle Calendar'!$D221)&gt;0,"H","R"))))</f>
        <v>R</v>
      </c>
      <c r="F221" s="20" t="str">
        <f t="shared" si="18"/>
        <v>R2</v>
      </c>
    </row>
    <row r="222" spans="1:6" x14ac:dyDescent="0.2">
      <c r="A222" s="20">
        <v>7</v>
      </c>
      <c r="B222" s="20">
        <f t="shared" si="20"/>
        <v>24</v>
      </c>
      <c r="C222" s="20">
        <f t="shared" si="22"/>
        <v>3</v>
      </c>
      <c r="D222" s="21">
        <f t="shared" si="21"/>
        <v>46239</v>
      </c>
      <c r="E222" s="22" t="str">
        <f>IF(AND(OR($C222=6,$C222=7),Weekend_As_Holiday="YES",COUNTIF(Holidays!$A$6:$A$58,'Cycle Calendar'!$D222)&gt;0),"H",IF(AND(OR($C222=6,$C222=7),Weekend_As_Holiday="NO",COUNTIF(Holidays!$A$6:$A$58,'Cycle Calendar'!$D222)&gt;0),"W",IF(OR($C222=6,$C222=7),"W",IF(COUNTIF(Holidays!$A$6:$A$58,'Cycle Calendar'!$D222)&gt;0,"H","R"))))</f>
        <v>R</v>
      </c>
      <c r="F222" s="20" t="str">
        <f t="shared" si="18"/>
        <v>R3</v>
      </c>
    </row>
    <row r="223" spans="1:6" x14ac:dyDescent="0.2">
      <c r="A223" s="20">
        <v>7</v>
      </c>
      <c r="B223" s="20">
        <f t="shared" si="20"/>
        <v>25</v>
      </c>
      <c r="C223" s="20">
        <f t="shared" si="22"/>
        <v>4</v>
      </c>
      <c r="D223" s="21">
        <f t="shared" si="21"/>
        <v>46240</v>
      </c>
      <c r="E223" s="22" t="str">
        <f>IF(AND(OR($C223=6,$C223=7),Weekend_As_Holiday="YES",COUNTIF(Holidays!$A$6:$A$58,'Cycle Calendar'!$D223)&gt;0),"H",IF(AND(OR($C223=6,$C223=7),Weekend_As_Holiday="NO",COUNTIF(Holidays!$A$6:$A$58,'Cycle Calendar'!$D223)&gt;0),"W",IF(OR($C223=6,$C223=7),"W",IF(COUNTIF(Holidays!$A$6:$A$58,'Cycle Calendar'!$D223)&gt;0,"H","R"))))</f>
        <v>R</v>
      </c>
      <c r="F223" s="20" t="str">
        <f t="shared" si="18"/>
        <v>R4</v>
      </c>
    </row>
    <row r="224" spans="1:6" x14ac:dyDescent="0.2">
      <c r="A224" s="20">
        <v>7</v>
      </c>
      <c r="B224" s="20">
        <f t="shared" si="20"/>
        <v>26</v>
      </c>
      <c r="C224" s="20">
        <f t="shared" si="22"/>
        <v>5</v>
      </c>
      <c r="D224" s="21">
        <f t="shared" si="21"/>
        <v>46241</v>
      </c>
      <c r="E224" s="22" t="str">
        <f>IF(AND(OR($C224=6,$C224=7),Weekend_As_Holiday="YES",COUNTIF(Holidays!$A$6:$A$58,'Cycle Calendar'!$D224)&gt;0),"H",IF(AND(OR($C224=6,$C224=7),Weekend_As_Holiday="NO",COUNTIF(Holidays!$A$6:$A$58,'Cycle Calendar'!$D224)&gt;0),"W",IF(OR($C224=6,$C224=7),"W",IF(COUNTIF(Holidays!$A$6:$A$58,'Cycle Calendar'!$D224)&gt;0,"H","R"))))</f>
        <v>R</v>
      </c>
      <c r="F224" s="20" t="str">
        <f t="shared" si="18"/>
        <v>R5</v>
      </c>
    </row>
    <row r="225" spans="1:6" x14ac:dyDescent="0.2">
      <c r="A225" s="20">
        <v>7</v>
      </c>
      <c r="B225" s="20">
        <f t="shared" si="20"/>
        <v>27</v>
      </c>
      <c r="C225" s="20">
        <f t="shared" si="22"/>
        <v>6</v>
      </c>
      <c r="D225" s="21">
        <f t="shared" si="21"/>
        <v>46242</v>
      </c>
      <c r="E225" s="22" t="str">
        <f>IF(AND(OR($C225=6,$C225=7),Weekend_As_Holiday="YES",COUNTIF(Holidays!$A$6:$A$58,'Cycle Calendar'!$D225)&gt;0),"H",IF(AND(OR($C225=6,$C225=7),Weekend_As_Holiday="NO",COUNTIF(Holidays!$A$6:$A$58,'Cycle Calendar'!$D225)&gt;0),"W",IF(OR($C225=6,$C225=7),"W",IF(COUNTIF(Holidays!$A$6:$A$58,'Cycle Calendar'!$D225)&gt;0,"H","R"))))</f>
        <v>W</v>
      </c>
      <c r="F225" s="20" t="str">
        <f t="shared" si="18"/>
        <v>W6</v>
      </c>
    </row>
    <row r="226" spans="1:6" x14ac:dyDescent="0.2">
      <c r="A226" s="20">
        <v>7</v>
      </c>
      <c r="B226" s="20">
        <f t="shared" si="20"/>
        <v>28</v>
      </c>
      <c r="C226" s="20">
        <f t="shared" si="22"/>
        <v>7</v>
      </c>
      <c r="D226" s="21">
        <f t="shared" si="21"/>
        <v>46243</v>
      </c>
      <c r="E226" s="22" t="str">
        <f>IF(AND(OR($C226=6,$C226=7),Weekend_As_Holiday="YES",COUNTIF(Holidays!$A$6:$A$58,'Cycle Calendar'!$D226)&gt;0),"H",IF(AND(OR($C226=6,$C226=7),Weekend_As_Holiday="NO",COUNTIF(Holidays!$A$6:$A$58,'Cycle Calendar'!$D226)&gt;0),"W",IF(OR($C226=6,$C226=7),"W",IF(COUNTIF(Holidays!$A$6:$A$58,'Cycle Calendar'!$D226)&gt;0,"H","R"))))</f>
        <v>W</v>
      </c>
      <c r="F226" s="20" t="str">
        <f t="shared" si="18"/>
        <v>W7</v>
      </c>
    </row>
    <row r="227" spans="1:6" x14ac:dyDescent="0.2">
      <c r="A227" s="20">
        <f t="shared" si="19"/>
        <v>8</v>
      </c>
      <c r="B227" s="20">
        <f t="shared" si="20"/>
        <v>1</v>
      </c>
      <c r="C227" s="20">
        <f t="shared" si="22"/>
        <v>1</v>
      </c>
      <c r="D227" s="21">
        <f t="shared" si="21"/>
        <v>46244</v>
      </c>
      <c r="E227" s="22" t="str">
        <f>IF(AND(OR($C227=6,$C227=7),Weekend_As_Holiday="YES",COUNTIF(Holidays!$A$6:$A$58,'Cycle Calendar'!$D227)&gt;0),"H",IF(AND(OR($C227=6,$C227=7),Weekend_As_Holiday="NO",COUNTIF(Holidays!$A$6:$A$58,'Cycle Calendar'!$D227)&gt;0),"W",IF(OR($C227=6,$C227=7),"W",IF(COUNTIF(Holidays!$A$6:$A$58,'Cycle Calendar'!$D227)&gt;0,"H","R"))))</f>
        <v>R</v>
      </c>
      <c r="F227" s="20" t="str">
        <f t="shared" si="18"/>
        <v>R1</v>
      </c>
    </row>
    <row r="228" spans="1:6" x14ac:dyDescent="0.2">
      <c r="A228" s="20">
        <f t="shared" si="19"/>
        <v>8</v>
      </c>
      <c r="B228" s="20">
        <f t="shared" si="20"/>
        <v>2</v>
      </c>
      <c r="C228" s="20">
        <f t="shared" si="22"/>
        <v>2</v>
      </c>
      <c r="D228" s="21">
        <f t="shared" si="21"/>
        <v>46245</v>
      </c>
      <c r="E228" s="22" t="str">
        <f>IF(AND(OR($C228=6,$C228=7),Weekend_As_Holiday="YES",COUNTIF(Holidays!$A$6:$A$58,'Cycle Calendar'!$D228)&gt;0),"H",IF(AND(OR($C228=6,$C228=7),Weekend_As_Holiday="NO",COUNTIF(Holidays!$A$6:$A$58,'Cycle Calendar'!$D228)&gt;0),"W",IF(OR($C228=6,$C228=7),"W",IF(COUNTIF(Holidays!$A$6:$A$58,'Cycle Calendar'!$D228)&gt;0,"H","R"))))</f>
        <v>R</v>
      </c>
      <c r="F228" s="20" t="str">
        <f t="shared" si="18"/>
        <v>R2</v>
      </c>
    </row>
    <row r="229" spans="1:6" x14ac:dyDescent="0.2">
      <c r="A229" s="20">
        <f t="shared" si="19"/>
        <v>8</v>
      </c>
      <c r="B229" s="20">
        <f t="shared" si="20"/>
        <v>3</v>
      </c>
      <c r="C229" s="20">
        <f t="shared" si="22"/>
        <v>3</v>
      </c>
      <c r="D229" s="21">
        <f t="shared" si="21"/>
        <v>46246</v>
      </c>
      <c r="E229" s="22" t="str">
        <f>IF(AND(OR($C229=6,$C229=7),Weekend_As_Holiday="YES",COUNTIF(Holidays!$A$6:$A$58,'Cycle Calendar'!$D229)&gt;0),"H",IF(AND(OR($C229=6,$C229=7),Weekend_As_Holiday="NO",COUNTIF(Holidays!$A$6:$A$58,'Cycle Calendar'!$D229)&gt;0),"W",IF(OR($C229=6,$C229=7),"W",IF(COUNTIF(Holidays!$A$6:$A$58,'Cycle Calendar'!$D229)&gt;0,"H","R"))))</f>
        <v>R</v>
      </c>
      <c r="F229" s="20" t="str">
        <f t="shared" si="18"/>
        <v>R3</v>
      </c>
    </row>
    <row r="230" spans="1:6" x14ac:dyDescent="0.2">
      <c r="A230" s="20">
        <f t="shared" si="19"/>
        <v>8</v>
      </c>
      <c r="B230" s="20">
        <f t="shared" si="20"/>
        <v>4</v>
      </c>
      <c r="C230" s="20">
        <f t="shared" si="22"/>
        <v>4</v>
      </c>
      <c r="D230" s="21">
        <f t="shared" si="21"/>
        <v>46247</v>
      </c>
      <c r="E230" s="22" t="str">
        <f>IF(AND(OR($C230=6,$C230=7),Weekend_As_Holiday="YES",COUNTIF(Holidays!$A$6:$A$58,'Cycle Calendar'!$D230)&gt;0),"H",IF(AND(OR($C230=6,$C230=7),Weekend_As_Holiday="NO",COUNTIF(Holidays!$A$6:$A$58,'Cycle Calendar'!$D230)&gt;0),"W",IF(OR($C230=6,$C230=7),"W",IF(COUNTIF(Holidays!$A$6:$A$58,'Cycle Calendar'!$D230)&gt;0,"H","R"))))</f>
        <v>R</v>
      </c>
      <c r="F230" s="20" t="str">
        <f t="shared" si="18"/>
        <v>R4</v>
      </c>
    </row>
    <row r="231" spans="1:6" x14ac:dyDescent="0.2">
      <c r="A231" s="20">
        <f t="shared" si="19"/>
        <v>8</v>
      </c>
      <c r="B231" s="20">
        <f t="shared" si="20"/>
        <v>5</v>
      </c>
      <c r="C231" s="20">
        <f t="shared" si="22"/>
        <v>5</v>
      </c>
      <c r="D231" s="21">
        <f t="shared" si="21"/>
        <v>46248</v>
      </c>
      <c r="E231" s="22" t="str">
        <f>IF(AND(OR($C231=6,$C231=7),Weekend_As_Holiday="YES",COUNTIF(Holidays!$A$6:$A$58,'Cycle Calendar'!$D231)&gt;0),"H",IF(AND(OR($C231=6,$C231=7),Weekend_As_Holiday="NO",COUNTIF(Holidays!$A$6:$A$58,'Cycle Calendar'!$D231)&gt;0),"W",IF(OR($C231=6,$C231=7),"W",IF(COUNTIF(Holidays!$A$6:$A$58,'Cycle Calendar'!$D231)&gt;0,"H","R"))))</f>
        <v>R</v>
      </c>
      <c r="F231" s="20" t="str">
        <f t="shared" si="18"/>
        <v>R5</v>
      </c>
    </row>
    <row r="232" spans="1:6" x14ac:dyDescent="0.2">
      <c r="A232" s="20">
        <f t="shared" si="19"/>
        <v>8</v>
      </c>
      <c r="B232" s="20">
        <f t="shared" si="20"/>
        <v>6</v>
      </c>
      <c r="C232" s="20">
        <f t="shared" si="22"/>
        <v>6</v>
      </c>
      <c r="D232" s="21">
        <f t="shared" si="21"/>
        <v>46249</v>
      </c>
      <c r="E232" s="22" t="str">
        <f>IF(AND(OR($C232=6,$C232=7),Weekend_As_Holiday="YES",COUNTIF(Holidays!$A$6:$A$58,'Cycle Calendar'!$D232)&gt;0),"H",IF(AND(OR($C232=6,$C232=7),Weekend_As_Holiday="NO",COUNTIF(Holidays!$A$6:$A$58,'Cycle Calendar'!$D232)&gt;0),"W",IF(OR($C232=6,$C232=7),"W",IF(COUNTIF(Holidays!$A$6:$A$58,'Cycle Calendar'!$D232)&gt;0,"H","R"))))</f>
        <v>W</v>
      </c>
      <c r="F232" s="20" t="str">
        <f t="shared" si="18"/>
        <v>W6</v>
      </c>
    </row>
    <row r="233" spans="1:6" x14ac:dyDescent="0.2">
      <c r="A233" s="20">
        <f t="shared" si="19"/>
        <v>8</v>
      </c>
      <c r="B233" s="20">
        <f t="shared" si="20"/>
        <v>7</v>
      </c>
      <c r="C233" s="20">
        <f t="shared" si="22"/>
        <v>7</v>
      </c>
      <c r="D233" s="21">
        <f t="shared" si="21"/>
        <v>46250</v>
      </c>
      <c r="E233" s="22" t="str">
        <f>IF(AND(OR($C233=6,$C233=7),Weekend_As_Holiday="YES",COUNTIF(Holidays!$A$6:$A$58,'Cycle Calendar'!$D233)&gt;0),"H",IF(AND(OR($C233=6,$C233=7),Weekend_As_Holiday="NO",COUNTIF(Holidays!$A$6:$A$58,'Cycle Calendar'!$D233)&gt;0),"W",IF(OR($C233=6,$C233=7),"W",IF(COUNTIF(Holidays!$A$6:$A$58,'Cycle Calendar'!$D233)&gt;0,"H","R"))))</f>
        <v>W</v>
      </c>
      <c r="F233" s="20" t="str">
        <f t="shared" si="18"/>
        <v>W7</v>
      </c>
    </row>
    <row r="234" spans="1:6" x14ac:dyDescent="0.2">
      <c r="A234" s="20">
        <f t="shared" si="19"/>
        <v>8</v>
      </c>
      <c r="B234" s="20">
        <f t="shared" si="20"/>
        <v>8</v>
      </c>
      <c r="C234" s="20">
        <f t="shared" si="22"/>
        <v>1</v>
      </c>
      <c r="D234" s="21">
        <f t="shared" si="21"/>
        <v>46251</v>
      </c>
      <c r="E234" s="22" t="str">
        <f>IF(AND(OR($C234=6,$C234=7),Weekend_As_Holiday="YES",COUNTIF(Holidays!$A$6:$A$58,'Cycle Calendar'!$D234)&gt;0),"H",IF(AND(OR($C234=6,$C234=7),Weekend_As_Holiday="NO",COUNTIF(Holidays!$A$6:$A$58,'Cycle Calendar'!$D234)&gt;0),"W",IF(OR($C234=6,$C234=7),"W",IF(COUNTIF(Holidays!$A$6:$A$58,'Cycle Calendar'!$D234)&gt;0,"H","R"))))</f>
        <v>R</v>
      </c>
      <c r="F234" s="20" t="str">
        <f t="shared" si="18"/>
        <v>R1</v>
      </c>
    </row>
    <row r="235" spans="1:6" x14ac:dyDescent="0.2">
      <c r="A235" s="20">
        <f t="shared" si="19"/>
        <v>8</v>
      </c>
      <c r="B235" s="20">
        <f t="shared" si="20"/>
        <v>9</v>
      </c>
      <c r="C235" s="20">
        <f t="shared" si="22"/>
        <v>2</v>
      </c>
      <c r="D235" s="21">
        <f t="shared" si="21"/>
        <v>46252</v>
      </c>
      <c r="E235" s="22" t="str">
        <f>IF(AND(OR($C235=6,$C235=7),Weekend_As_Holiday="YES",COUNTIF(Holidays!$A$6:$A$58,'Cycle Calendar'!$D235)&gt;0),"H",IF(AND(OR($C235=6,$C235=7),Weekend_As_Holiday="NO",COUNTIF(Holidays!$A$6:$A$58,'Cycle Calendar'!$D235)&gt;0),"W",IF(OR($C235=6,$C235=7),"W",IF(COUNTIF(Holidays!$A$6:$A$58,'Cycle Calendar'!$D235)&gt;0,"H","R"))))</f>
        <v>R</v>
      </c>
      <c r="F235" s="20" t="str">
        <f t="shared" si="18"/>
        <v>R2</v>
      </c>
    </row>
    <row r="236" spans="1:6" x14ac:dyDescent="0.2">
      <c r="A236" s="20">
        <f t="shared" si="19"/>
        <v>8</v>
      </c>
      <c r="B236" s="20">
        <f t="shared" si="20"/>
        <v>10</v>
      </c>
      <c r="C236" s="20">
        <f t="shared" si="22"/>
        <v>3</v>
      </c>
      <c r="D236" s="21">
        <f t="shared" si="21"/>
        <v>46253</v>
      </c>
      <c r="E236" s="22" t="str">
        <f>IF(AND(OR($C236=6,$C236=7),Weekend_As_Holiday="YES",COUNTIF(Holidays!$A$6:$A$58,'Cycle Calendar'!$D236)&gt;0),"H",IF(AND(OR($C236=6,$C236=7),Weekend_As_Holiday="NO",COUNTIF(Holidays!$A$6:$A$58,'Cycle Calendar'!$D236)&gt;0),"W",IF(OR($C236=6,$C236=7),"W",IF(COUNTIF(Holidays!$A$6:$A$58,'Cycle Calendar'!$D236)&gt;0,"H","R"))))</f>
        <v>R</v>
      </c>
      <c r="F236" s="20" t="str">
        <f t="shared" si="18"/>
        <v>R3</v>
      </c>
    </row>
    <row r="237" spans="1:6" x14ac:dyDescent="0.2">
      <c r="A237" s="20">
        <f t="shared" si="19"/>
        <v>8</v>
      </c>
      <c r="B237" s="20">
        <f t="shared" si="20"/>
        <v>11</v>
      </c>
      <c r="C237" s="20">
        <f t="shared" si="22"/>
        <v>4</v>
      </c>
      <c r="D237" s="21">
        <f t="shared" si="21"/>
        <v>46254</v>
      </c>
      <c r="E237" s="22" t="str">
        <f>IF(AND(OR($C237=6,$C237=7),Weekend_As_Holiday="YES",COUNTIF(Holidays!$A$6:$A$58,'Cycle Calendar'!$D237)&gt;0),"H",IF(AND(OR($C237=6,$C237=7),Weekend_As_Holiday="NO",COUNTIF(Holidays!$A$6:$A$58,'Cycle Calendar'!$D237)&gt;0),"W",IF(OR($C237=6,$C237=7),"W",IF(COUNTIF(Holidays!$A$6:$A$58,'Cycle Calendar'!$D237)&gt;0,"H","R"))))</f>
        <v>R</v>
      </c>
      <c r="F237" s="20" t="str">
        <f t="shared" si="18"/>
        <v>R4</v>
      </c>
    </row>
    <row r="238" spans="1:6" x14ac:dyDescent="0.2">
      <c r="A238" s="20">
        <f t="shared" si="19"/>
        <v>8</v>
      </c>
      <c r="B238" s="20">
        <f t="shared" si="20"/>
        <v>12</v>
      </c>
      <c r="C238" s="20">
        <f t="shared" si="22"/>
        <v>5</v>
      </c>
      <c r="D238" s="21">
        <f t="shared" si="21"/>
        <v>46255</v>
      </c>
      <c r="E238" s="22" t="str">
        <f>IF(AND(OR($C238=6,$C238=7),Weekend_As_Holiday="YES",COUNTIF(Holidays!$A$6:$A$58,'Cycle Calendar'!$D238)&gt;0),"H",IF(AND(OR($C238=6,$C238=7),Weekend_As_Holiday="NO",COUNTIF(Holidays!$A$6:$A$58,'Cycle Calendar'!$D238)&gt;0),"W",IF(OR($C238=6,$C238=7),"W",IF(COUNTIF(Holidays!$A$6:$A$58,'Cycle Calendar'!$D238)&gt;0,"H","R"))))</f>
        <v>H</v>
      </c>
      <c r="F238" s="20" t="str">
        <f t="shared" si="18"/>
        <v>H5</v>
      </c>
    </row>
    <row r="239" spans="1:6" x14ac:dyDescent="0.2">
      <c r="A239" s="20">
        <f t="shared" si="19"/>
        <v>8</v>
      </c>
      <c r="B239" s="20">
        <f t="shared" si="20"/>
        <v>13</v>
      </c>
      <c r="C239" s="20">
        <f t="shared" si="22"/>
        <v>6</v>
      </c>
      <c r="D239" s="21">
        <f t="shared" si="21"/>
        <v>46256</v>
      </c>
      <c r="E239" s="22" t="str">
        <f>IF(AND(OR($C239=6,$C239=7),Weekend_As_Holiday="YES",COUNTIF(Holidays!$A$6:$A$58,'Cycle Calendar'!$D239)&gt;0),"H",IF(AND(OR($C239=6,$C239=7),Weekend_As_Holiday="NO",COUNTIF(Holidays!$A$6:$A$58,'Cycle Calendar'!$D239)&gt;0),"W",IF(OR($C239=6,$C239=7),"W",IF(COUNTIF(Holidays!$A$6:$A$58,'Cycle Calendar'!$D239)&gt;0,"H","R"))))</f>
        <v>W</v>
      </c>
      <c r="F239" s="20" t="str">
        <f t="shared" si="18"/>
        <v>W6</v>
      </c>
    </row>
    <row r="240" spans="1:6" x14ac:dyDescent="0.2">
      <c r="A240" s="20">
        <f t="shared" si="19"/>
        <v>8</v>
      </c>
      <c r="B240" s="20">
        <f t="shared" si="20"/>
        <v>14</v>
      </c>
      <c r="C240" s="20">
        <f t="shared" si="22"/>
        <v>7</v>
      </c>
      <c r="D240" s="21">
        <f t="shared" si="21"/>
        <v>46257</v>
      </c>
      <c r="E240" s="22" t="str">
        <f>IF(AND(OR($C240=6,$C240=7),Weekend_As_Holiday="YES",COUNTIF(Holidays!$A$6:$A$58,'Cycle Calendar'!$D240)&gt;0),"H",IF(AND(OR($C240=6,$C240=7),Weekend_As_Holiday="NO",COUNTIF(Holidays!$A$6:$A$58,'Cycle Calendar'!$D240)&gt;0),"W",IF(OR($C240=6,$C240=7),"W",IF(COUNTIF(Holidays!$A$6:$A$58,'Cycle Calendar'!$D240)&gt;0,"H","R"))))</f>
        <v>W</v>
      </c>
      <c r="F240" s="20" t="str">
        <f t="shared" si="18"/>
        <v>W7</v>
      </c>
    </row>
    <row r="241" spans="1:6" x14ac:dyDescent="0.2">
      <c r="A241" s="20">
        <f t="shared" si="19"/>
        <v>8</v>
      </c>
      <c r="B241" s="20">
        <f t="shared" si="20"/>
        <v>15</v>
      </c>
      <c r="C241" s="20">
        <f t="shared" si="22"/>
        <v>1</v>
      </c>
      <c r="D241" s="21">
        <f t="shared" si="21"/>
        <v>46258</v>
      </c>
      <c r="E241" s="22" t="str">
        <f>IF(AND(OR($C241=6,$C241=7),Weekend_As_Holiday="YES",COUNTIF(Holidays!$A$6:$A$58,'Cycle Calendar'!$D241)&gt;0),"H",IF(AND(OR($C241=6,$C241=7),Weekend_As_Holiday="NO",COUNTIF(Holidays!$A$6:$A$58,'Cycle Calendar'!$D241)&gt;0),"W",IF(OR($C241=6,$C241=7),"W",IF(COUNTIF(Holidays!$A$6:$A$58,'Cycle Calendar'!$D241)&gt;0,"H","R"))))</f>
        <v>R</v>
      </c>
      <c r="F241" s="20" t="str">
        <f t="shared" si="18"/>
        <v>R1</v>
      </c>
    </row>
    <row r="242" spans="1:6" x14ac:dyDescent="0.2">
      <c r="A242" s="20">
        <f t="shared" si="19"/>
        <v>8</v>
      </c>
      <c r="B242" s="20">
        <f t="shared" si="20"/>
        <v>16</v>
      </c>
      <c r="C242" s="20">
        <f t="shared" si="22"/>
        <v>2</v>
      </c>
      <c r="D242" s="21">
        <f t="shared" si="21"/>
        <v>46259</v>
      </c>
      <c r="E242" s="22" t="str">
        <f>IF(AND(OR($C242=6,$C242=7),Weekend_As_Holiday="YES",COUNTIF(Holidays!$A$6:$A$58,'Cycle Calendar'!$D242)&gt;0),"H",IF(AND(OR($C242=6,$C242=7),Weekend_As_Holiday="NO",COUNTIF(Holidays!$A$6:$A$58,'Cycle Calendar'!$D242)&gt;0),"W",IF(OR($C242=6,$C242=7),"W",IF(COUNTIF(Holidays!$A$6:$A$58,'Cycle Calendar'!$D242)&gt;0,"H","R"))))</f>
        <v>R</v>
      </c>
      <c r="F242" s="20" t="str">
        <f t="shared" si="18"/>
        <v>R2</v>
      </c>
    </row>
    <row r="243" spans="1:6" x14ac:dyDescent="0.2">
      <c r="A243" s="20">
        <f t="shared" si="19"/>
        <v>8</v>
      </c>
      <c r="B243" s="20">
        <f t="shared" si="20"/>
        <v>17</v>
      </c>
      <c r="C243" s="20">
        <f t="shared" si="22"/>
        <v>3</v>
      </c>
      <c r="D243" s="21">
        <f t="shared" si="21"/>
        <v>46260</v>
      </c>
      <c r="E243" s="22" t="str">
        <f>IF(AND(OR($C243=6,$C243=7),Weekend_As_Holiday="YES",COUNTIF(Holidays!$A$6:$A$58,'Cycle Calendar'!$D243)&gt;0),"H",IF(AND(OR($C243=6,$C243=7),Weekend_As_Holiday="NO",COUNTIF(Holidays!$A$6:$A$58,'Cycle Calendar'!$D243)&gt;0),"W",IF(OR($C243=6,$C243=7),"W",IF(COUNTIF(Holidays!$A$6:$A$58,'Cycle Calendar'!$D243)&gt;0,"H","R"))))</f>
        <v>R</v>
      </c>
      <c r="F243" s="20" t="str">
        <f t="shared" si="18"/>
        <v>R3</v>
      </c>
    </row>
    <row r="244" spans="1:6" x14ac:dyDescent="0.2">
      <c r="A244" s="20">
        <f t="shared" si="19"/>
        <v>8</v>
      </c>
      <c r="B244" s="20">
        <f t="shared" si="20"/>
        <v>18</v>
      </c>
      <c r="C244" s="20">
        <f t="shared" si="22"/>
        <v>4</v>
      </c>
      <c r="D244" s="21">
        <f t="shared" si="21"/>
        <v>46261</v>
      </c>
      <c r="E244" s="22" t="str">
        <f>IF(AND(OR($C244=6,$C244=7),Weekend_As_Holiday="YES",COUNTIF(Holidays!$A$6:$A$58,'Cycle Calendar'!$D244)&gt;0),"H",IF(AND(OR($C244=6,$C244=7),Weekend_As_Holiday="NO",COUNTIF(Holidays!$A$6:$A$58,'Cycle Calendar'!$D244)&gt;0),"W",IF(OR($C244=6,$C244=7),"W",IF(COUNTIF(Holidays!$A$6:$A$58,'Cycle Calendar'!$D244)&gt;0,"H","R"))))</f>
        <v>R</v>
      </c>
      <c r="F244" s="20" t="str">
        <f t="shared" si="18"/>
        <v>R4</v>
      </c>
    </row>
    <row r="245" spans="1:6" x14ac:dyDescent="0.2">
      <c r="A245" s="20">
        <f t="shared" si="19"/>
        <v>8</v>
      </c>
      <c r="B245" s="20">
        <f t="shared" si="20"/>
        <v>19</v>
      </c>
      <c r="C245" s="20">
        <f t="shared" si="22"/>
        <v>5</v>
      </c>
      <c r="D245" s="21">
        <f t="shared" si="21"/>
        <v>46262</v>
      </c>
      <c r="E245" s="22" t="str">
        <f>IF(AND(OR($C245=6,$C245=7),Weekend_As_Holiday="YES",COUNTIF(Holidays!$A$6:$A$58,'Cycle Calendar'!$D245)&gt;0),"H",IF(AND(OR($C245=6,$C245=7),Weekend_As_Holiday="NO",COUNTIF(Holidays!$A$6:$A$58,'Cycle Calendar'!$D245)&gt;0),"W",IF(OR($C245=6,$C245=7),"W",IF(COUNTIF(Holidays!$A$6:$A$58,'Cycle Calendar'!$D245)&gt;0,"H","R"))))</f>
        <v>R</v>
      </c>
      <c r="F245" s="20" t="str">
        <f t="shared" si="18"/>
        <v>R5</v>
      </c>
    </row>
    <row r="246" spans="1:6" x14ac:dyDescent="0.2">
      <c r="A246" s="20">
        <f t="shared" si="19"/>
        <v>8</v>
      </c>
      <c r="B246" s="20">
        <f t="shared" si="20"/>
        <v>20</v>
      </c>
      <c r="C246" s="20">
        <f t="shared" si="22"/>
        <v>6</v>
      </c>
      <c r="D246" s="21">
        <f t="shared" si="21"/>
        <v>46263</v>
      </c>
      <c r="E246" s="22" t="str">
        <f>IF(AND(OR($C246=6,$C246=7),Weekend_As_Holiday="YES",COUNTIF(Holidays!$A$6:$A$58,'Cycle Calendar'!$D246)&gt;0),"H",IF(AND(OR($C246=6,$C246=7),Weekend_As_Holiday="NO",COUNTIF(Holidays!$A$6:$A$58,'Cycle Calendar'!$D246)&gt;0),"W",IF(OR($C246=6,$C246=7),"W",IF(COUNTIF(Holidays!$A$6:$A$58,'Cycle Calendar'!$D246)&gt;0,"H","R"))))</f>
        <v>W</v>
      </c>
      <c r="F246" s="20" t="str">
        <f t="shared" si="18"/>
        <v>W6</v>
      </c>
    </row>
    <row r="247" spans="1:6" x14ac:dyDescent="0.2">
      <c r="A247" s="20">
        <f t="shared" si="19"/>
        <v>8</v>
      </c>
      <c r="B247" s="20">
        <f t="shared" si="20"/>
        <v>21</v>
      </c>
      <c r="C247" s="20">
        <f t="shared" si="22"/>
        <v>7</v>
      </c>
      <c r="D247" s="21">
        <f t="shared" si="21"/>
        <v>46264</v>
      </c>
      <c r="E247" s="22" t="str">
        <f>IF(AND(OR($C247=6,$C247=7),Weekend_As_Holiday="YES",COUNTIF(Holidays!$A$6:$A$58,'Cycle Calendar'!$D247)&gt;0),"H",IF(AND(OR($C247=6,$C247=7),Weekend_As_Holiday="NO",COUNTIF(Holidays!$A$6:$A$58,'Cycle Calendar'!$D247)&gt;0),"W",IF(OR($C247=6,$C247=7),"W",IF(COUNTIF(Holidays!$A$6:$A$58,'Cycle Calendar'!$D247)&gt;0,"H","R"))))</f>
        <v>W</v>
      </c>
      <c r="F247" s="20" t="str">
        <f t="shared" si="18"/>
        <v>W7</v>
      </c>
    </row>
    <row r="248" spans="1:6" x14ac:dyDescent="0.2">
      <c r="A248" s="20">
        <f t="shared" si="19"/>
        <v>8</v>
      </c>
      <c r="B248" s="20">
        <f t="shared" si="20"/>
        <v>22</v>
      </c>
      <c r="C248" s="20">
        <f t="shared" si="22"/>
        <v>1</v>
      </c>
      <c r="D248" s="21">
        <f t="shared" si="21"/>
        <v>46265</v>
      </c>
      <c r="E248" s="22" t="str">
        <f>IF(AND(OR($C248=6,$C248=7),Weekend_As_Holiday="YES",COUNTIF(Holidays!$A$6:$A$58,'Cycle Calendar'!$D248)&gt;0),"H",IF(AND(OR($C248=6,$C248=7),Weekend_As_Holiday="NO",COUNTIF(Holidays!$A$6:$A$58,'Cycle Calendar'!$D248)&gt;0),"W",IF(OR($C248=6,$C248=7),"W",IF(COUNTIF(Holidays!$A$6:$A$58,'Cycle Calendar'!$D248)&gt;0,"H","R"))))</f>
        <v>H</v>
      </c>
      <c r="F248" s="20" t="str">
        <f t="shared" si="18"/>
        <v>H1</v>
      </c>
    </row>
    <row r="249" spans="1:6" x14ac:dyDescent="0.2">
      <c r="A249" s="20">
        <v>8</v>
      </c>
      <c r="B249" s="20">
        <f t="shared" si="20"/>
        <v>23</v>
      </c>
      <c r="C249" s="20">
        <f t="shared" si="22"/>
        <v>2</v>
      </c>
      <c r="D249" s="21">
        <f t="shared" si="21"/>
        <v>46266</v>
      </c>
      <c r="E249" s="22" t="str">
        <f>IF(AND(OR($C249=6,$C249=7),Weekend_As_Holiday="YES",COUNTIF(Holidays!$A$6:$A$58,'Cycle Calendar'!$D249)&gt;0),"H",IF(AND(OR($C249=6,$C249=7),Weekend_As_Holiday="NO",COUNTIF(Holidays!$A$6:$A$58,'Cycle Calendar'!$D249)&gt;0),"W",IF(OR($C249=6,$C249=7),"W",IF(COUNTIF(Holidays!$A$6:$A$58,'Cycle Calendar'!$D249)&gt;0,"H","R"))))</f>
        <v>R</v>
      </c>
      <c r="F249" s="20" t="str">
        <f t="shared" si="18"/>
        <v>R2</v>
      </c>
    </row>
    <row r="250" spans="1:6" x14ac:dyDescent="0.2">
      <c r="A250" s="20">
        <v>8</v>
      </c>
      <c r="B250" s="20">
        <f t="shared" si="20"/>
        <v>24</v>
      </c>
      <c r="C250" s="20">
        <f t="shared" si="22"/>
        <v>3</v>
      </c>
      <c r="D250" s="21">
        <f t="shared" si="21"/>
        <v>46267</v>
      </c>
      <c r="E250" s="22" t="str">
        <f>IF(AND(OR($C250=6,$C250=7),Weekend_As_Holiday="YES",COUNTIF(Holidays!$A$6:$A$58,'Cycle Calendar'!$D250)&gt;0),"H",IF(AND(OR($C250=6,$C250=7),Weekend_As_Holiday="NO",COUNTIF(Holidays!$A$6:$A$58,'Cycle Calendar'!$D250)&gt;0),"W",IF(OR($C250=6,$C250=7),"W",IF(COUNTIF(Holidays!$A$6:$A$58,'Cycle Calendar'!$D250)&gt;0,"H","R"))))</f>
        <v>R</v>
      </c>
      <c r="F250" s="20" t="str">
        <f t="shared" si="18"/>
        <v>R3</v>
      </c>
    </row>
    <row r="251" spans="1:6" x14ac:dyDescent="0.2">
      <c r="A251" s="20">
        <v>8</v>
      </c>
      <c r="B251" s="20">
        <f t="shared" si="20"/>
        <v>25</v>
      </c>
      <c r="C251" s="20">
        <f t="shared" si="22"/>
        <v>4</v>
      </c>
      <c r="D251" s="21">
        <f t="shared" si="21"/>
        <v>46268</v>
      </c>
      <c r="E251" s="22" t="str">
        <f>IF(AND(OR($C251=6,$C251=7),Weekend_As_Holiday="YES",COUNTIF(Holidays!$A$6:$A$58,'Cycle Calendar'!$D251)&gt;0),"H",IF(AND(OR($C251=6,$C251=7),Weekend_As_Holiday="NO",COUNTIF(Holidays!$A$6:$A$58,'Cycle Calendar'!$D251)&gt;0),"W",IF(OR($C251=6,$C251=7),"W",IF(COUNTIF(Holidays!$A$6:$A$58,'Cycle Calendar'!$D251)&gt;0,"H","R"))))</f>
        <v>R</v>
      </c>
      <c r="F251" s="20" t="str">
        <f t="shared" si="18"/>
        <v>R4</v>
      </c>
    </row>
    <row r="252" spans="1:6" x14ac:dyDescent="0.2">
      <c r="A252" s="20">
        <v>8</v>
      </c>
      <c r="B252" s="20">
        <f t="shared" si="20"/>
        <v>26</v>
      </c>
      <c r="C252" s="20">
        <f t="shared" si="22"/>
        <v>5</v>
      </c>
      <c r="D252" s="21">
        <f t="shared" si="21"/>
        <v>46269</v>
      </c>
      <c r="E252" s="22" t="str">
        <f>IF(AND(OR($C252=6,$C252=7),Weekend_As_Holiday="YES",COUNTIF(Holidays!$A$6:$A$58,'Cycle Calendar'!$D252)&gt;0),"H",IF(AND(OR($C252=6,$C252=7),Weekend_As_Holiday="NO",COUNTIF(Holidays!$A$6:$A$58,'Cycle Calendar'!$D252)&gt;0),"W",IF(OR($C252=6,$C252=7),"W",IF(COUNTIF(Holidays!$A$6:$A$58,'Cycle Calendar'!$D252)&gt;0,"H","R"))))</f>
        <v>R</v>
      </c>
      <c r="F252" s="20" t="str">
        <f t="shared" si="18"/>
        <v>R5</v>
      </c>
    </row>
    <row r="253" spans="1:6" x14ac:dyDescent="0.2">
      <c r="A253" s="20">
        <v>8</v>
      </c>
      <c r="B253" s="20">
        <f t="shared" si="20"/>
        <v>27</v>
      </c>
      <c r="C253" s="20">
        <f t="shared" si="22"/>
        <v>6</v>
      </c>
      <c r="D253" s="21">
        <f t="shared" si="21"/>
        <v>46270</v>
      </c>
      <c r="E253" s="22" t="str">
        <f>IF(AND(OR($C253=6,$C253=7),Weekend_As_Holiday="YES",COUNTIF(Holidays!$A$6:$A$58,'Cycle Calendar'!$D253)&gt;0),"H",IF(AND(OR($C253=6,$C253=7),Weekend_As_Holiday="NO",COUNTIF(Holidays!$A$6:$A$58,'Cycle Calendar'!$D253)&gt;0),"W",IF(OR($C253=6,$C253=7),"W",IF(COUNTIF(Holidays!$A$6:$A$58,'Cycle Calendar'!$D253)&gt;0,"H","R"))))</f>
        <v>W</v>
      </c>
      <c r="F253" s="20" t="str">
        <f t="shared" si="18"/>
        <v>W6</v>
      </c>
    </row>
    <row r="254" spans="1:6" x14ac:dyDescent="0.2">
      <c r="A254" s="20">
        <v>8</v>
      </c>
      <c r="B254" s="20">
        <f t="shared" si="20"/>
        <v>28</v>
      </c>
      <c r="C254" s="20">
        <f t="shared" si="22"/>
        <v>7</v>
      </c>
      <c r="D254" s="21">
        <f t="shared" si="21"/>
        <v>46271</v>
      </c>
      <c r="E254" s="22" t="str">
        <f>IF(AND(OR($C254=6,$C254=7),Weekend_As_Holiday="YES",COUNTIF(Holidays!$A$6:$A$58,'Cycle Calendar'!$D254)&gt;0),"H",IF(AND(OR($C254=6,$C254=7),Weekend_As_Holiday="NO",COUNTIF(Holidays!$A$6:$A$58,'Cycle Calendar'!$D254)&gt;0),"W",IF(OR($C254=6,$C254=7),"W",IF(COUNTIF(Holidays!$A$6:$A$58,'Cycle Calendar'!$D254)&gt;0,"H","R"))))</f>
        <v>W</v>
      </c>
      <c r="F254" s="20" t="str">
        <f t="shared" si="18"/>
        <v>W7</v>
      </c>
    </row>
    <row r="255" spans="1:6" x14ac:dyDescent="0.2">
      <c r="A255" s="20">
        <f t="shared" si="19"/>
        <v>9</v>
      </c>
      <c r="B255" s="20">
        <f t="shared" si="20"/>
        <v>1</v>
      </c>
      <c r="C255" s="20">
        <f t="shared" si="22"/>
        <v>1</v>
      </c>
      <c r="D255" s="21">
        <f t="shared" si="21"/>
        <v>46272</v>
      </c>
      <c r="E255" s="22" t="str">
        <f>IF(AND(OR($C255=6,$C255=7),Weekend_As_Holiday="YES",COUNTIF(Holidays!$A$6:$A$58,'Cycle Calendar'!$D255)&gt;0),"H",IF(AND(OR($C255=6,$C255=7),Weekend_As_Holiday="NO",COUNTIF(Holidays!$A$6:$A$58,'Cycle Calendar'!$D255)&gt;0),"W",IF(OR($C255=6,$C255=7),"W",IF(COUNTIF(Holidays!$A$6:$A$58,'Cycle Calendar'!$D255)&gt;0,"H","R"))))</f>
        <v>R</v>
      </c>
      <c r="F255" s="20" t="str">
        <f t="shared" si="18"/>
        <v>R1</v>
      </c>
    </row>
    <row r="256" spans="1:6" x14ac:dyDescent="0.2">
      <c r="A256" s="20">
        <f t="shared" si="19"/>
        <v>9</v>
      </c>
      <c r="B256" s="20">
        <f t="shared" si="20"/>
        <v>2</v>
      </c>
      <c r="C256" s="20">
        <f t="shared" si="22"/>
        <v>2</v>
      </c>
      <c r="D256" s="21">
        <f t="shared" si="21"/>
        <v>46273</v>
      </c>
      <c r="E256" s="22" t="str">
        <f>IF(AND(OR($C256=6,$C256=7),Weekend_As_Holiday="YES",COUNTIF(Holidays!$A$6:$A$58,'Cycle Calendar'!$D256)&gt;0),"H",IF(AND(OR($C256=6,$C256=7),Weekend_As_Holiday="NO",COUNTIF(Holidays!$A$6:$A$58,'Cycle Calendar'!$D256)&gt;0),"W",IF(OR($C256=6,$C256=7),"W",IF(COUNTIF(Holidays!$A$6:$A$58,'Cycle Calendar'!$D256)&gt;0,"H","R"))))</f>
        <v>R</v>
      </c>
      <c r="F256" s="20" t="str">
        <f t="shared" si="18"/>
        <v>R2</v>
      </c>
    </row>
    <row r="257" spans="1:6" x14ac:dyDescent="0.2">
      <c r="A257" s="20">
        <f t="shared" si="19"/>
        <v>9</v>
      </c>
      <c r="B257" s="20">
        <f t="shared" si="20"/>
        <v>3</v>
      </c>
      <c r="C257" s="20">
        <f t="shared" si="22"/>
        <v>3</v>
      </c>
      <c r="D257" s="21">
        <f t="shared" si="21"/>
        <v>46274</v>
      </c>
      <c r="E257" s="22" t="str">
        <f>IF(AND(OR($C257=6,$C257=7),Weekend_As_Holiday="YES",COUNTIF(Holidays!$A$6:$A$58,'Cycle Calendar'!$D257)&gt;0),"H",IF(AND(OR($C257=6,$C257=7),Weekend_As_Holiday="NO",COUNTIF(Holidays!$A$6:$A$58,'Cycle Calendar'!$D257)&gt;0),"W",IF(OR($C257=6,$C257=7),"W",IF(COUNTIF(Holidays!$A$6:$A$58,'Cycle Calendar'!$D257)&gt;0,"H","R"))))</f>
        <v>R</v>
      </c>
      <c r="F257" s="20" t="str">
        <f t="shared" si="18"/>
        <v>R3</v>
      </c>
    </row>
    <row r="258" spans="1:6" x14ac:dyDescent="0.2">
      <c r="A258" s="20">
        <f t="shared" si="19"/>
        <v>9</v>
      </c>
      <c r="B258" s="20">
        <f t="shared" si="20"/>
        <v>4</v>
      </c>
      <c r="C258" s="20">
        <f t="shared" si="22"/>
        <v>4</v>
      </c>
      <c r="D258" s="21">
        <f t="shared" si="21"/>
        <v>46275</v>
      </c>
      <c r="E258" s="22" t="str">
        <f>IF(AND(OR($C258=6,$C258=7),Weekend_As_Holiday="YES",COUNTIF(Holidays!$A$6:$A$58,'Cycle Calendar'!$D258)&gt;0),"H",IF(AND(OR($C258=6,$C258=7),Weekend_As_Holiday="NO",COUNTIF(Holidays!$A$6:$A$58,'Cycle Calendar'!$D258)&gt;0),"W",IF(OR($C258=6,$C258=7),"W",IF(COUNTIF(Holidays!$A$6:$A$58,'Cycle Calendar'!$D258)&gt;0,"H","R"))))</f>
        <v>R</v>
      </c>
      <c r="F258" s="20" t="str">
        <f t="shared" si="18"/>
        <v>R4</v>
      </c>
    </row>
    <row r="259" spans="1:6" x14ac:dyDescent="0.2">
      <c r="A259" s="20">
        <f t="shared" si="19"/>
        <v>9</v>
      </c>
      <c r="B259" s="20">
        <f t="shared" si="20"/>
        <v>5</v>
      </c>
      <c r="C259" s="20">
        <f t="shared" si="22"/>
        <v>5</v>
      </c>
      <c r="D259" s="21">
        <f t="shared" si="21"/>
        <v>46276</v>
      </c>
      <c r="E259" s="22" t="str">
        <f>IF(AND(OR($C259=6,$C259=7),Weekend_As_Holiday="YES",COUNTIF(Holidays!$A$6:$A$58,'Cycle Calendar'!$D259)&gt;0),"H",IF(AND(OR($C259=6,$C259=7),Weekend_As_Holiday="NO",COUNTIF(Holidays!$A$6:$A$58,'Cycle Calendar'!$D259)&gt;0),"W",IF(OR($C259=6,$C259=7),"W",IF(COUNTIF(Holidays!$A$6:$A$58,'Cycle Calendar'!$D259)&gt;0,"H","R"))))</f>
        <v>R</v>
      </c>
      <c r="F259" s="20" t="str">
        <f t="shared" si="18"/>
        <v>R5</v>
      </c>
    </row>
    <row r="260" spans="1:6" x14ac:dyDescent="0.2">
      <c r="A260" s="20">
        <f t="shared" si="19"/>
        <v>9</v>
      </c>
      <c r="B260" s="20">
        <f t="shared" si="20"/>
        <v>6</v>
      </c>
      <c r="C260" s="20">
        <f t="shared" si="22"/>
        <v>6</v>
      </c>
      <c r="D260" s="21">
        <f t="shared" si="21"/>
        <v>46277</v>
      </c>
      <c r="E260" s="22" t="str">
        <f>IF(AND(OR($C260=6,$C260=7),Weekend_As_Holiday="YES",COUNTIF(Holidays!$A$6:$A$58,'Cycle Calendar'!$D260)&gt;0),"H",IF(AND(OR($C260=6,$C260=7),Weekend_As_Holiday="NO",COUNTIF(Holidays!$A$6:$A$58,'Cycle Calendar'!$D260)&gt;0),"W",IF(OR($C260=6,$C260=7),"W",IF(COUNTIF(Holidays!$A$6:$A$58,'Cycle Calendar'!$D260)&gt;0,"H","R"))))</f>
        <v>W</v>
      </c>
      <c r="F260" s="20" t="str">
        <f t="shared" si="18"/>
        <v>W6</v>
      </c>
    </row>
    <row r="261" spans="1:6" x14ac:dyDescent="0.2">
      <c r="A261" s="20">
        <f t="shared" si="19"/>
        <v>9</v>
      </c>
      <c r="B261" s="20">
        <f t="shared" si="20"/>
        <v>7</v>
      </c>
      <c r="C261" s="20">
        <f t="shared" si="22"/>
        <v>7</v>
      </c>
      <c r="D261" s="21">
        <f t="shared" si="21"/>
        <v>46278</v>
      </c>
      <c r="E261" s="22" t="str">
        <f>IF(AND(OR($C261=6,$C261=7),Weekend_As_Holiday="YES",COUNTIF(Holidays!$A$6:$A$58,'Cycle Calendar'!$D261)&gt;0),"H",IF(AND(OR($C261=6,$C261=7),Weekend_As_Holiday="NO",COUNTIF(Holidays!$A$6:$A$58,'Cycle Calendar'!$D261)&gt;0),"W",IF(OR($C261=6,$C261=7),"W",IF(COUNTIF(Holidays!$A$6:$A$58,'Cycle Calendar'!$D261)&gt;0,"H","R"))))</f>
        <v>W</v>
      </c>
      <c r="F261" s="20" t="str">
        <f t="shared" si="18"/>
        <v>W7</v>
      </c>
    </row>
    <row r="262" spans="1:6" x14ac:dyDescent="0.2">
      <c r="A262" s="20">
        <f t="shared" ref="A262:A325" si="23">IF(Calendar_Type="Calendar-Based",MONTH(D262),INT(((ROW(A257)-1)/(Days_per_Cycle+Number_Of_Weekends)))*1+1)</f>
        <v>9</v>
      </c>
      <c r="B262" s="20">
        <f t="shared" si="20"/>
        <v>8</v>
      </c>
      <c r="C262" s="20">
        <f t="shared" si="22"/>
        <v>1</v>
      </c>
      <c r="D262" s="21">
        <f t="shared" si="21"/>
        <v>46279</v>
      </c>
      <c r="E262" s="22" t="str">
        <f>IF(AND(OR($C262=6,$C262=7),Weekend_As_Holiday="YES",COUNTIF(Holidays!$A$6:$A$58,'Cycle Calendar'!$D262)&gt;0),"H",IF(AND(OR($C262=6,$C262=7),Weekend_As_Holiday="NO",COUNTIF(Holidays!$A$6:$A$58,'Cycle Calendar'!$D262)&gt;0),"W",IF(OR($C262=6,$C262=7),"W",IF(COUNTIF(Holidays!$A$6:$A$58,'Cycle Calendar'!$D262)&gt;0,"H","R"))))</f>
        <v>R</v>
      </c>
      <c r="F262" s="20" t="str">
        <f t="shared" ref="F262:F325" si="24">E262&amp;C262</f>
        <v>R1</v>
      </c>
    </row>
    <row r="263" spans="1:6" x14ac:dyDescent="0.2">
      <c r="A263" s="20">
        <f t="shared" si="23"/>
        <v>9</v>
      </c>
      <c r="B263" s="20">
        <f t="shared" ref="B263:B326" si="25">IF(A263=A262,B262+1,1)</f>
        <v>9</v>
      </c>
      <c r="C263" s="20">
        <f t="shared" si="22"/>
        <v>2</v>
      </c>
      <c r="D263" s="21">
        <f t="shared" si="21"/>
        <v>46280</v>
      </c>
      <c r="E263" s="22" t="str">
        <f>IF(AND(OR($C263=6,$C263=7),Weekend_As_Holiday="YES",COUNTIF(Holidays!$A$6:$A$58,'Cycle Calendar'!$D263)&gt;0),"H",IF(AND(OR($C263=6,$C263=7),Weekend_As_Holiday="NO",COUNTIF(Holidays!$A$6:$A$58,'Cycle Calendar'!$D263)&gt;0),"W",IF(OR($C263=6,$C263=7),"W",IF(COUNTIF(Holidays!$A$6:$A$58,'Cycle Calendar'!$D263)&gt;0,"H","R"))))</f>
        <v>R</v>
      </c>
      <c r="F263" s="20" t="str">
        <f t="shared" si="24"/>
        <v>R2</v>
      </c>
    </row>
    <row r="264" spans="1:6" x14ac:dyDescent="0.2">
      <c r="A264" s="20">
        <f t="shared" si="23"/>
        <v>9</v>
      </c>
      <c r="B264" s="20">
        <f t="shared" si="25"/>
        <v>10</v>
      </c>
      <c r="C264" s="20">
        <f t="shared" si="22"/>
        <v>3</v>
      </c>
      <c r="D264" s="21">
        <f t="shared" ref="D264:D327" si="26">D263+1</f>
        <v>46281</v>
      </c>
      <c r="E264" s="22" t="str">
        <f>IF(AND(OR($C264=6,$C264=7),Weekend_As_Holiday="YES",COUNTIF(Holidays!$A$6:$A$58,'Cycle Calendar'!$D264)&gt;0),"H",IF(AND(OR($C264=6,$C264=7),Weekend_As_Holiday="NO",COUNTIF(Holidays!$A$6:$A$58,'Cycle Calendar'!$D264)&gt;0),"W",IF(OR($C264=6,$C264=7),"W",IF(COUNTIF(Holidays!$A$6:$A$58,'Cycle Calendar'!$D264)&gt;0,"H","R"))))</f>
        <v>R</v>
      </c>
      <c r="F264" s="20" t="str">
        <f t="shared" si="24"/>
        <v>R3</v>
      </c>
    </row>
    <row r="265" spans="1:6" x14ac:dyDescent="0.2">
      <c r="A265" s="20">
        <f t="shared" si="23"/>
        <v>9</v>
      </c>
      <c r="B265" s="20">
        <f t="shared" si="25"/>
        <v>11</v>
      </c>
      <c r="C265" s="20">
        <f t="shared" ref="C265:C328" si="27">WEEKDAY(D265,2)</f>
        <v>4</v>
      </c>
      <c r="D265" s="21">
        <f t="shared" si="26"/>
        <v>46282</v>
      </c>
      <c r="E265" s="22" t="str">
        <f>IF(AND(OR($C265=6,$C265=7),Weekend_As_Holiday="YES",COUNTIF(Holidays!$A$6:$A$58,'Cycle Calendar'!$D265)&gt;0),"H",IF(AND(OR($C265=6,$C265=7),Weekend_As_Holiday="NO",COUNTIF(Holidays!$A$6:$A$58,'Cycle Calendar'!$D265)&gt;0),"W",IF(OR($C265=6,$C265=7),"W",IF(COUNTIF(Holidays!$A$6:$A$58,'Cycle Calendar'!$D265)&gt;0,"H","R"))))</f>
        <v>R</v>
      </c>
      <c r="F265" s="20" t="str">
        <f t="shared" si="24"/>
        <v>R4</v>
      </c>
    </row>
    <row r="266" spans="1:6" x14ac:dyDescent="0.2">
      <c r="A266" s="20">
        <f t="shared" si="23"/>
        <v>9</v>
      </c>
      <c r="B266" s="20">
        <f t="shared" si="25"/>
        <v>12</v>
      </c>
      <c r="C266" s="20">
        <f t="shared" si="27"/>
        <v>5</v>
      </c>
      <c r="D266" s="21">
        <f t="shared" si="26"/>
        <v>46283</v>
      </c>
      <c r="E266" s="22" t="str">
        <f>IF(AND(OR($C266=6,$C266=7),Weekend_As_Holiday="YES",COUNTIF(Holidays!$A$6:$A$58,'Cycle Calendar'!$D266)&gt;0),"H",IF(AND(OR($C266=6,$C266=7),Weekend_As_Holiday="NO",COUNTIF(Holidays!$A$6:$A$58,'Cycle Calendar'!$D266)&gt;0),"W",IF(OR($C266=6,$C266=7),"W",IF(COUNTIF(Holidays!$A$6:$A$58,'Cycle Calendar'!$D266)&gt;0,"H","R"))))</f>
        <v>R</v>
      </c>
      <c r="F266" s="20" t="str">
        <f t="shared" si="24"/>
        <v>R5</v>
      </c>
    </row>
    <row r="267" spans="1:6" x14ac:dyDescent="0.2">
      <c r="A267" s="20">
        <f t="shared" si="23"/>
        <v>9</v>
      </c>
      <c r="B267" s="20">
        <f t="shared" si="25"/>
        <v>13</v>
      </c>
      <c r="C267" s="20">
        <f t="shared" si="27"/>
        <v>6</v>
      </c>
      <c r="D267" s="21">
        <f t="shared" si="26"/>
        <v>46284</v>
      </c>
      <c r="E267" s="22" t="str">
        <f>IF(AND(OR($C267=6,$C267=7),Weekend_As_Holiday="YES",COUNTIF(Holidays!$A$6:$A$58,'Cycle Calendar'!$D267)&gt;0),"H",IF(AND(OR($C267=6,$C267=7),Weekend_As_Holiday="NO",COUNTIF(Holidays!$A$6:$A$58,'Cycle Calendar'!$D267)&gt;0),"W",IF(OR($C267=6,$C267=7),"W",IF(COUNTIF(Holidays!$A$6:$A$58,'Cycle Calendar'!$D267)&gt;0,"H","R"))))</f>
        <v>W</v>
      </c>
      <c r="F267" s="20" t="str">
        <f t="shared" si="24"/>
        <v>W6</v>
      </c>
    </row>
    <row r="268" spans="1:6" x14ac:dyDescent="0.2">
      <c r="A268" s="20">
        <f t="shared" si="23"/>
        <v>9</v>
      </c>
      <c r="B268" s="20">
        <f t="shared" si="25"/>
        <v>14</v>
      </c>
      <c r="C268" s="20">
        <f t="shared" si="27"/>
        <v>7</v>
      </c>
      <c r="D268" s="21">
        <f t="shared" si="26"/>
        <v>46285</v>
      </c>
      <c r="E268" s="22" t="str">
        <f>IF(AND(OR($C268=6,$C268=7),Weekend_As_Holiday="YES",COUNTIF(Holidays!$A$6:$A$58,'Cycle Calendar'!$D268)&gt;0),"H",IF(AND(OR($C268=6,$C268=7),Weekend_As_Holiday="NO",COUNTIF(Holidays!$A$6:$A$58,'Cycle Calendar'!$D268)&gt;0),"W",IF(OR($C268=6,$C268=7),"W",IF(COUNTIF(Holidays!$A$6:$A$58,'Cycle Calendar'!$D268)&gt;0,"H","R"))))</f>
        <v>W</v>
      </c>
      <c r="F268" s="20" t="str">
        <f t="shared" si="24"/>
        <v>W7</v>
      </c>
    </row>
    <row r="269" spans="1:6" x14ac:dyDescent="0.2">
      <c r="A269" s="20">
        <f t="shared" si="23"/>
        <v>9</v>
      </c>
      <c r="B269" s="20">
        <f t="shared" si="25"/>
        <v>15</v>
      </c>
      <c r="C269" s="20">
        <f t="shared" si="27"/>
        <v>1</v>
      </c>
      <c r="D269" s="21">
        <f t="shared" si="26"/>
        <v>46286</v>
      </c>
      <c r="E269" s="22" t="str">
        <f>IF(AND(OR($C269=6,$C269=7),Weekend_As_Holiday="YES",COUNTIF(Holidays!$A$6:$A$58,'Cycle Calendar'!$D269)&gt;0),"H",IF(AND(OR($C269=6,$C269=7),Weekend_As_Holiday="NO",COUNTIF(Holidays!$A$6:$A$58,'Cycle Calendar'!$D269)&gt;0),"W",IF(OR($C269=6,$C269=7),"W",IF(COUNTIF(Holidays!$A$6:$A$58,'Cycle Calendar'!$D269)&gt;0,"H","R"))))</f>
        <v>R</v>
      </c>
      <c r="F269" s="20" t="str">
        <f t="shared" si="24"/>
        <v>R1</v>
      </c>
    </row>
    <row r="270" spans="1:6" x14ac:dyDescent="0.2">
      <c r="A270" s="20">
        <f t="shared" si="23"/>
        <v>9</v>
      </c>
      <c r="B270" s="20">
        <f t="shared" si="25"/>
        <v>16</v>
      </c>
      <c r="C270" s="20">
        <f t="shared" si="27"/>
        <v>2</v>
      </c>
      <c r="D270" s="21">
        <f t="shared" si="26"/>
        <v>46287</v>
      </c>
      <c r="E270" s="22" t="str">
        <f>IF(AND(OR($C270=6,$C270=7),Weekend_As_Holiday="YES",COUNTIF(Holidays!$A$6:$A$58,'Cycle Calendar'!$D270)&gt;0),"H",IF(AND(OR($C270=6,$C270=7),Weekend_As_Holiday="NO",COUNTIF(Holidays!$A$6:$A$58,'Cycle Calendar'!$D270)&gt;0),"W",IF(OR($C270=6,$C270=7),"W",IF(COUNTIF(Holidays!$A$6:$A$58,'Cycle Calendar'!$D270)&gt;0,"H","R"))))</f>
        <v>R</v>
      </c>
      <c r="F270" s="20" t="str">
        <f t="shared" si="24"/>
        <v>R2</v>
      </c>
    </row>
    <row r="271" spans="1:6" x14ac:dyDescent="0.2">
      <c r="A271" s="20">
        <f t="shared" si="23"/>
        <v>9</v>
      </c>
      <c r="B271" s="20">
        <f t="shared" si="25"/>
        <v>17</v>
      </c>
      <c r="C271" s="20">
        <f t="shared" si="27"/>
        <v>3</v>
      </c>
      <c r="D271" s="21">
        <f t="shared" si="26"/>
        <v>46288</v>
      </c>
      <c r="E271" s="22" t="str">
        <f>IF(AND(OR($C271=6,$C271=7),Weekend_As_Holiday="YES",COUNTIF(Holidays!$A$6:$A$58,'Cycle Calendar'!$D271)&gt;0),"H",IF(AND(OR($C271=6,$C271=7),Weekend_As_Holiday="NO",COUNTIF(Holidays!$A$6:$A$58,'Cycle Calendar'!$D271)&gt;0),"W",IF(OR($C271=6,$C271=7),"W",IF(COUNTIF(Holidays!$A$6:$A$58,'Cycle Calendar'!$D271)&gt;0,"H","R"))))</f>
        <v>R</v>
      </c>
      <c r="F271" s="20" t="str">
        <f t="shared" si="24"/>
        <v>R3</v>
      </c>
    </row>
    <row r="272" spans="1:6" x14ac:dyDescent="0.2">
      <c r="A272" s="20">
        <f t="shared" si="23"/>
        <v>9</v>
      </c>
      <c r="B272" s="20">
        <f t="shared" si="25"/>
        <v>18</v>
      </c>
      <c r="C272" s="20">
        <f t="shared" si="27"/>
        <v>4</v>
      </c>
      <c r="D272" s="21">
        <f t="shared" si="26"/>
        <v>46289</v>
      </c>
      <c r="E272" s="22" t="str">
        <f>IF(AND(OR($C272=6,$C272=7),Weekend_As_Holiday="YES",COUNTIF(Holidays!$A$6:$A$58,'Cycle Calendar'!$D272)&gt;0),"H",IF(AND(OR($C272=6,$C272=7),Weekend_As_Holiday="NO",COUNTIF(Holidays!$A$6:$A$58,'Cycle Calendar'!$D272)&gt;0),"W",IF(OR($C272=6,$C272=7),"W",IF(COUNTIF(Holidays!$A$6:$A$58,'Cycle Calendar'!$D272)&gt;0,"H","R"))))</f>
        <v>R</v>
      </c>
      <c r="F272" s="20" t="str">
        <f t="shared" si="24"/>
        <v>R4</v>
      </c>
    </row>
    <row r="273" spans="1:6" x14ac:dyDescent="0.2">
      <c r="A273" s="20">
        <f t="shared" si="23"/>
        <v>9</v>
      </c>
      <c r="B273" s="20">
        <f t="shared" si="25"/>
        <v>19</v>
      </c>
      <c r="C273" s="20">
        <f t="shared" si="27"/>
        <v>5</v>
      </c>
      <c r="D273" s="21">
        <f t="shared" si="26"/>
        <v>46290</v>
      </c>
      <c r="E273" s="22" t="str">
        <f>IF(AND(OR($C273=6,$C273=7),Weekend_As_Holiday="YES",COUNTIF(Holidays!$A$6:$A$58,'Cycle Calendar'!$D273)&gt;0),"H",IF(AND(OR($C273=6,$C273=7),Weekend_As_Holiday="NO",COUNTIF(Holidays!$A$6:$A$58,'Cycle Calendar'!$D273)&gt;0),"W",IF(OR($C273=6,$C273=7),"W",IF(COUNTIF(Holidays!$A$6:$A$58,'Cycle Calendar'!$D273)&gt;0,"H","R"))))</f>
        <v>R</v>
      </c>
      <c r="F273" s="20" t="str">
        <f t="shared" si="24"/>
        <v>R5</v>
      </c>
    </row>
    <row r="274" spans="1:6" x14ac:dyDescent="0.2">
      <c r="A274" s="20">
        <f t="shared" si="23"/>
        <v>9</v>
      </c>
      <c r="B274" s="20">
        <f t="shared" si="25"/>
        <v>20</v>
      </c>
      <c r="C274" s="20">
        <f t="shared" si="27"/>
        <v>6</v>
      </c>
      <c r="D274" s="21">
        <f t="shared" si="26"/>
        <v>46291</v>
      </c>
      <c r="E274" s="22" t="str">
        <f>IF(AND(OR($C274=6,$C274=7),Weekend_As_Holiday="YES",COUNTIF(Holidays!$A$6:$A$58,'Cycle Calendar'!$D274)&gt;0),"H",IF(AND(OR($C274=6,$C274=7),Weekend_As_Holiday="NO",COUNTIF(Holidays!$A$6:$A$58,'Cycle Calendar'!$D274)&gt;0),"W",IF(OR($C274=6,$C274=7),"W",IF(COUNTIF(Holidays!$A$6:$A$58,'Cycle Calendar'!$D274)&gt;0,"H","R"))))</f>
        <v>W</v>
      </c>
      <c r="F274" s="20" t="str">
        <f t="shared" si="24"/>
        <v>W6</v>
      </c>
    </row>
    <row r="275" spans="1:6" x14ac:dyDescent="0.2">
      <c r="A275" s="20">
        <f t="shared" si="23"/>
        <v>9</v>
      </c>
      <c r="B275" s="20">
        <f t="shared" si="25"/>
        <v>21</v>
      </c>
      <c r="C275" s="20">
        <f t="shared" si="27"/>
        <v>7</v>
      </c>
      <c r="D275" s="21">
        <f t="shared" si="26"/>
        <v>46292</v>
      </c>
      <c r="E275" s="22" t="str">
        <f>IF(AND(OR($C275=6,$C275=7),Weekend_As_Holiday="YES",COUNTIF(Holidays!$A$6:$A$58,'Cycle Calendar'!$D275)&gt;0),"H",IF(AND(OR($C275=6,$C275=7),Weekend_As_Holiday="NO",COUNTIF(Holidays!$A$6:$A$58,'Cycle Calendar'!$D275)&gt;0),"W",IF(OR($C275=6,$C275=7),"W",IF(COUNTIF(Holidays!$A$6:$A$58,'Cycle Calendar'!$D275)&gt;0,"H","R"))))</f>
        <v>W</v>
      </c>
      <c r="F275" s="20" t="str">
        <f t="shared" si="24"/>
        <v>W7</v>
      </c>
    </row>
    <row r="276" spans="1:6" x14ac:dyDescent="0.2">
      <c r="A276" s="20">
        <f t="shared" si="23"/>
        <v>9</v>
      </c>
      <c r="B276" s="20">
        <f t="shared" si="25"/>
        <v>22</v>
      </c>
      <c r="C276" s="20">
        <f t="shared" si="27"/>
        <v>1</v>
      </c>
      <c r="D276" s="21">
        <f t="shared" si="26"/>
        <v>46293</v>
      </c>
      <c r="E276" s="22" t="str">
        <f>IF(AND(OR($C276=6,$C276=7),Weekend_As_Holiday="YES",COUNTIF(Holidays!$A$6:$A$58,'Cycle Calendar'!$D276)&gt;0),"H",IF(AND(OR($C276=6,$C276=7),Weekend_As_Holiday="NO",COUNTIF(Holidays!$A$6:$A$58,'Cycle Calendar'!$D276)&gt;0),"W",IF(OR($C276=6,$C276=7),"W",IF(COUNTIF(Holidays!$A$6:$A$58,'Cycle Calendar'!$D276)&gt;0,"H","R"))))</f>
        <v>R</v>
      </c>
      <c r="F276" s="20" t="str">
        <f t="shared" si="24"/>
        <v>R1</v>
      </c>
    </row>
    <row r="277" spans="1:6" x14ac:dyDescent="0.2">
      <c r="A277" s="20">
        <f t="shared" si="23"/>
        <v>9</v>
      </c>
      <c r="B277" s="20">
        <f t="shared" si="25"/>
        <v>23</v>
      </c>
      <c r="C277" s="20">
        <f t="shared" si="27"/>
        <v>2</v>
      </c>
      <c r="D277" s="21">
        <f t="shared" si="26"/>
        <v>46294</v>
      </c>
      <c r="E277" s="22" t="str">
        <f>IF(AND(OR($C277=6,$C277=7),Weekend_As_Holiday="YES",COUNTIF(Holidays!$A$6:$A$58,'Cycle Calendar'!$D277)&gt;0),"H",IF(AND(OR($C277=6,$C277=7),Weekend_As_Holiday="NO",COUNTIF(Holidays!$A$6:$A$58,'Cycle Calendar'!$D277)&gt;0),"W",IF(OR($C277=6,$C277=7),"W",IF(COUNTIF(Holidays!$A$6:$A$58,'Cycle Calendar'!$D277)&gt;0,"H","R"))))</f>
        <v>R</v>
      </c>
      <c r="F277" s="20" t="str">
        <f t="shared" si="24"/>
        <v>R2</v>
      </c>
    </row>
    <row r="278" spans="1:6" x14ac:dyDescent="0.2">
      <c r="A278" s="20">
        <f t="shared" si="23"/>
        <v>9</v>
      </c>
      <c r="B278" s="20">
        <f t="shared" si="25"/>
        <v>24</v>
      </c>
      <c r="C278" s="20">
        <f t="shared" si="27"/>
        <v>3</v>
      </c>
      <c r="D278" s="21">
        <f t="shared" si="26"/>
        <v>46295</v>
      </c>
      <c r="E278" s="22" t="str">
        <f>IF(AND(OR($C278=6,$C278=7),Weekend_As_Holiday="YES",COUNTIF(Holidays!$A$6:$A$58,'Cycle Calendar'!$D278)&gt;0),"H",IF(AND(OR($C278=6,$C278=7),Weekend_As_Holiday="NO",COUNTIF(Holidays!$A$6:$A$58,'Cycle Calendar'!$D278)&gt;0),"W",IF(OR($C278=6,$C278=7),"W",IF(COUNTIF(Holidays!$A$6:$A$58,'Cycle Calendar'!$D278)&gt;0,"H","R"))))</f>
        <v>R</v>
      </c>
      <c r="F278" s="20" t="str">
        <f t="shared" si="24"/>
        <v>R3</v>
      </c>
    </row>
    <row r="279" spans="1:6" x14ac:dyDescent="0.2">
      <c r="A279" s="20">
        <v>9</v>
      </c>
      <c r="B279" s="20">
        <f t="shared" si="25"/>
        <v>25</v>
      </c>
      <c r="C279" s="20">
        <f>WEEKDAY(D279,2)</f>
        <v>4</v>
      </c>
      <c r="D279" s="21">
        <f>D278+1</f>
        <v>46296</v>
      </c>
      <c r="E279" s="22" t="str">
        <f>IF(AND(OR($C279=6,$C279=7),Weekend_As_Holiday="YES",COUNTIF(Holidays!$A$6:$A$58,'Cycle Calendar'!$D279)&gt;0),"H",IF(AND(OR($C279=6,$C279=7),Weekend_As_Holiday="NO",COUNTIF(Holidays!$A$6:$A$58,'Cycle Calendar'!$D279)&gt;0),"W",IF(OR($C279=6,$C279=7),"W",IF(COUNTIF(Holidays!$A$6:$A$58,'Cycle Calendar'!$D279)&gt;0,"H","R"))))</f>
        <v>R</v>
      </c>
      <c r="F279" s="20" t="str">
        <f t="shared" si="24"/>
        <v>R4</v>
      </c>
    </row>
    <row r="280" spans="1:6" x14ac:dyDescent="0.2">
      <c r="A280" s="20">
        <v>9</v>
      </c>
      <c r="B280" s="20">
        <f t="shared" si="25"/>
        <v>26</v>
      </c>
      <c r="C280" s="20">
        <f t="shared" si="27"/>
        <v>5</v>
      </c>
      <c r="D280" s="21">
        <f t="shared" si="26"/>
        <v>46297</v>
      </c>
      <c r="E280" s="22" t="str">
        <f>IF(AND(OR($C280=6,$C280=7),Weekend_As_Holiday="YES",COUNTIF(Holidays!$A$6:$A$58,'Cycle Calendar'!$D280)&gt;0),"H",IF(AND(OR($C280=6,$C280=7),Weekend_As_Holiday="NO",COUNTIF(Holidays!$A$6:$A$58,'Cycle Calendar'!$D280)&gt;0),"W",IF(OR($C280=6,$C280=7),"W",IF(COUNTIF(Holidays!$A$6:$A$58,'Cycle Calendar'!$D280)&gt;0,"H","R"))))</f>
        <v>R</v>
      </c>
      <c r="F280" s="20" t="str">
        <f t="shared" si="24"/>
        <v>R5</v>
      </c>
    </row>
    <row r="281" spans="1:6" x14ac:dyDescent="0.2">
      <c r="A281" s="20">
        <v>9</v>
      </c>
      <c r="B281" s="20">
        <f t="shared" si="25"/>
        <v>27</v>
      </c>
      <c r="C281" s="20">
        <f t="shared" si="27"/>
        <v>6</v>
      </c>
      <c r="D281" s="21">
        <f t="shared" si="26"/>
        <v>46298</v>
      </c>
      <c r="E281" s="22" t="str">
        <f>IF(AND(OR($C281=6,$C281=7),Weekend_As_Holiday="YES",COUNTIF(Holidays!$A$6:$A$58,'Cycle Calendar'!$D281)&gt;0),"H",IF(AND(OR($C281=6,$C281=7),Weekend_As_Holiday="NO",COUNTIF(Holidays!$A$6:$A$58,'Cycle Calendar'!$D281)&gt;0),"W",IF(OR($C281=6,$C281=7),"W",IF(COUNTIF(Holidays!$A$6:$A$58,'Cycle Calendar'!$D281)&gt;0,"H","R"))))</f>
        <v>W</v>
      </c>
      <c r="F281" s="20" t="str">
        <f t="shared" si="24"/>
        <v>W6</v>
      </c>
    </row>
    <row r="282" spans="1:6" x14ac:dyDescent="0.2">
      <c r="A282" s="20">
        <v>9</v>
      </c>
      <c r="B282" s="20">
        <f t="shared" si="25"/>
        <v>28</v>
      </c>
      <c r="C282" s="20">
        <f t="shared" si="27"/>
        <v>7</v>
      </c>
      <c r="D282" s="21">
        <f t="shared" si="26"/>
        <v>46299</v>
      </c>
      <c r="E282" s="22" t="str">
        <f>IF(AND(OR($C282=6,$C282=7),Weekend_As_Holiday="YES",COUNTIF(Holidays!$A$6:$A$58,'Cycle Calendar'!$D282)&gt;0),"H",IF(AND(OR($C282=6,$C282=7),Weekend_As_Holiday="NO",COUNTIF(Holidays!$A$6:$A$58,'Cycle Calendar'!$D282)&gt;0),"W",IF(OR($C282=6,$C282=7),"W",IF(COUNTIF(Holidays!$A$6:$A$58,'Cycle Calendar'!$D282)&gt;0,"H","R"))))</f>
        <v>W</v>
      </c>
      <c r="F282" s="20" t="str">
        <f t="shared" si="24"/>
        <v>W7</v>
      </c>
    </row>
    <row r="283" spans="1:6" x14ac:dyDescent="0.2">
      <c r="A283" s="20">
        <f t="shared" si="23"/>
        <v>10</v>
      </c>
      <c r="B283" s="20">
        <f t="shared" si="25"/>
        <v>1</v>
      </c>
      <c r="C283" s="20">
        <f t="shared" si="27"/>
        <v>1</v>
      </c>
      <c r="D283" s="21">
        <f t="shared" si="26"/>
        <v>46300</v>
      </c>
      <c r="E283" s="22" t="str">
        <f>IF(AND(OR($C283=6,$C283=7),Weekend_As_Holiday="YES",COUNTIF(Holidays!$A$6:$A$58,'Cycle Calendar'!$D283)&gt;0),"H",IF(AND(OR($C283=6,$C283=7),Weekend_As_Holiday="NO",COUNTIF(Holidays!$A$6:$A$58,'Cycle Calendar'!$D283)&gt;0),"W",IF(OR($C283=6,$C283=7),"W",IF(COUNTIF(Holidays!$A$6:$A$58,'Cycle Calendar'!$D283)&gt;0,"H","R"))))</f>
        <v>R</v>
      </c>
      <c r="F283" s="20" t="str">
        <f t="shared" si="24"/>
        <v>R1</v>
      </c>
    </row>
    <row r="284" spans="1:6" x14ac:dyDescent="0.2">
      <c r="A284" s="20">
        <f t="shared" si="23"/>
        <v>10</v>
      </c>
      <c r="B284" s="20">
        <f t="shared" si="25"/>
        <v>2</v>
      </c>
      <c r="C284" s="20">
        <f t="shared" si="27"/>
        <v>2</v>
      </c>
      <c r="D284" s="21">
        <f t="shared" si="26"/>
        <v>46301</v>
      </c>
      <c r="E284" s="22" t="str">
        <f>IF(AND(OR($C284=6,$C284=7),Weekend_As_Holiday="YES",COUNTIF(Holidays!$A$6:$A$58,'Cycle Calendar'!$D284)&gt;0),"H",IF(AND(OR($C284=6,$C284=7),Weekend_As_Holiday="NO",COUNTIF(Holidays!$A$6:$A$58,'Cycle Calendar'!$D284)&gt;0),"W",IF(OR($C284=6,$C284=7),"W",IF(COUNTIF(Holidays!$A$6:$A$58,'Cycle Calendar'!$D284)&gt;0,"H","R"))))</f>
        <v>R</v>
      </c>
      <c r="F284" s="20" t="str">
        <f t="shared" si="24"/>
        <v>R2</v>
      </c>
    </row>
    <row r="285" spans="1:6" x14ac:dyDescent="0.2">
      <c r="A285" s="20">
        <f t="shared" si="23"/>
        <v>10</v>
      </c>
      <c r="B285" s="20">
        <f t="shared" si="25"/>
        <v>3</v>
      </c>
      <c r="C285" s="20">
        <f t="shared" si="27"/>
        <v>3</v>
      </c>
      <c r="D285" s="21">
        <f t="shared" si="26"/>
        <v>46302</v>
      </c>
      <c r="E285" s="22" t="str">
        <f>IF(AND(OR($C285=6,$C285=7),Weekend_As_Holiday="YES",COUNTIF(Holidays!$A$6:$A$58,'Cycle Calendar'!$D285)&gt;0),"H",IF(AND(OR($C285=6,$C285=7),Weekend_As_Holiday="NO",COUNTIF(Holidays!$A$6:$A$58,'Cycle Calendar'!$D285)&gt;0),"W",IF(OR($C285=6,$C285=7),"W",IF(COUNTIF(Holidays!$A$6:$A$58,'Cycle Calendar'!$D285)&gt;0,"H","R"))))</f>
        <v>R</v>
      </c>
      <c r="F285" s="20" t="str">
        <f t="shared" si="24"/>
        <v>R3</v>
      </c>
    </row>
    <row r="286" spans="1:6" x14ac:dyDescent="0.2">
      <c r="A286" s="20">
        <f t="shared" si="23"/>
        <v>10</v>
      </c>
      <c r="B286" s="20">
        <f t="shared" si="25"/>
        <v>4</v>
      </c>
      <c r="C286" s="20">
        <f t="shared" si="27"/>
        <v>4</v>
      </c>
      <c r="D286" s="21">
        <f t="shared" si="26"/>
        <v>46303</v>
      </c>
      <c r="E286" s="22" t="str">
        <f>IF(AND(OR($C286=6,$C286=7),Weekend_As_Holiday="YES",COUNTIF(Holidays!$A$6:$A$58,'Cycle Calendar'!$D286)&gt;0),"H",IF(AND(OR($C286=6,$C286=7),Weekend_As_Holiday="NO",COUNTIF(Holidays!$A$6:$A$58,'Cycle Calendar'!$D286)&gt;0),"W",IF(OR($C286=6,$C286=7),"W",IF(COUNTIF(Holidays!$A$6:$A$58,'Cycle Calendar'!$D286)&gt;0,"H","R"))))</f>
        <v>R</v>
      </c>
      <c r="F286" s="20" t="str">
        <f t="shared" si="24"/>
        <v>R4</v>
      </c>
    </row>
    <row r="287" spans="1:6" x14ac:dyDescent="0.2">
      <c r="A287" s="20">
        <f t="shared" si="23"/>
        <v>10</v>
      </c>
      <c r="B287" s="20">
        <f t="shared" si="25"/>
        <v>5</v>
      </c>
      <c r="C287" s="20">
        <f t="shared" si="27"/>
        <v>5</v>
      </c>
      <c r="D287" s="21">
        <f t="shared" si="26"/>
        <v>46304</v>
      </c>
      <c r="E287" s="22" t="str">
        <f>IF(AND(OR($C287=6,$C287=7),Weekend_As_Holiday="YES",COUNTIF(Holidays!$A$6:$A$58,'Cycle Calendar'!$D287)&gt;0),"H",IF(AND(OR($C287=6,$C287=7),Weekend_As_Holiday="NO",COUNTIF(Holidays!$A$6:$A$58,'Cycle Calendar'!$D287)&gt;0),"W",IF(OR($C287=6,$C287=7),"W",IF(COUNTIF(Holidays!$A$6:$A$58,'Cycle Calendar'!$D287)&gt;0,"H","R"))))</f>
        <v>R</v>
      </c>
      <c r="F287" s="20" t="str">
        <f t="shared" si="24"/>
        <v>R5</v>
      </c>
    </row>
    <row r="288" spans="1:6" x14ac:dyDescent="0.2">
      <c r="A288" s="20">
        <f t="shared" si="23"/>
        <v>10</v>
      </c>
      <c r="B288" s="20">
        <f t="shared" si="25"/>
        <v>6</v>
      </c>
      <c r="C288" s="20">
        <f t="shared" si="27"/>
        <v>6</v>
      </c>
      <c r="D288" s="21">
        <f t="shared" si="26"/>
        <v>46305</v>
      </c>
      <c r="E288" s="22" t="str">
        <f>IF(AND(OR($C288=6,$C288=7),Weekend_As_Holiday="YES",COUNTIF(Holidays!$A$6:$A$58,'Cycle Calendar'!$D288)&gt;0),"H",IF(AND(OR($C288=6,$C288=7),Weekend_As_Holiday="NO",COUNTIF(Holidays!$A$6:$A$58,'Cycle Calendar'!$D288)&gt;0),"W",IF(OR($C288=6,$C288=7),"W",IF(COUNTIF(Holidays!$A$6:$A$58,'Cycle Calendar'!$D288)&gt;0,"H","R"))))</f>
        <v>W</v>
      </c>
      <c r="F288" s="20" t="str">
        <f t="shared" si="24"/>
        <v>W6</v>
      </c>
    </row>
    <row r="289" spans="1:6" x14ac:dyDescent="0.2">
      <c r="A289" s="20">
        <f t="shared" si="23"/>
        <v>10</v>
      </c>
      <c r="B289" s="20">
        <f t="shared" si="25"/>
        <v>7</v>
      </c>
      <c r="C289" s="20">
        <f t="shared" si="27"/>
        <v>7</v>
      </c>
      <c r="D289" s="21">
        <f t="shared" si="26"/>
        <v>46306</v>
      </c>
      <c r="E289" s="22" t="str">
        <f>IF(AND(OR($C289=6,$C289=7),Weekend_As_Holiday="YES",COUNTIF(Holidays!$A$6:$A$58,'Cycle Calendar'!$D289)&gt;0),"H",IF(AND(OR($C289=6,$C289=7),Weekend_As_Holiday="NO",COUNTIF(Holidays!$A$6:$A$58,'Cycle Calendar'!$D289)&gt;0),"W",IF(OR($C289=6,$C289=7),"W",IF(COUNTIF(Holidays!$A$6:$A$58,'Cycle Calendar'!$D289)&gt;0,"H","R"))))</f>
        <v>W</v>
      </c>
      <c r="F289" s="20" t="str">
        <f t="shared" si="24"/>
        <v>W7</v>
      </c>
    </row>
    <row r="290" spans="1:6" x14ac:dyDescent="0.2">
      <c r="A290" s="20">
        <f t="shared" si="23"/>
        <v>10</v>
      </c>
      <c r="B290" s="20">
        <f t="shared" si="25"/>
        <v>8</v>
      </c>
      <c r="C290" s="20">
        <f t="shared" si="27"/>
        <v>1</v>
      </c>
      <c r="D290" s="21">
        <f t="shared" si="26"/>
        <v>46307</v>
      </c>
      <c r="E290" s="22" t="str">
        <f>IF(AND(OR($C290=6,$C290=7),Weekend_As_Holiday="YES",COUNTIF(Holidays!$A$6:$A$58,'Cycle Calendar'!$D290)&gt;0),"H",IF(AND(OR($C290=6,$C290=7),Weekend_As_Holiday="NO",COUNTIF(Holidays!$A$6:$A$58,'Cycle Calendar'!$D290)&gt;0),"W",IF(OR($C290=6,$C290=7),"W",IF(COUNTIF(Holidays!$A$6:$A$58,'Cycle Calendar'!$D290)&gt;0,"H","R"))))</f>
        <v>R</v>
      </c>
      <c r="F290" s="20" t="str">
        <f t="shared" si="24"/>
        <v>R1</v>
      </c>
    </row>
    <row r="291" spans="1:6" x14ac:dyDescent="0.2">
      <c r="A291" s="20">
        <f t="shared" si="23"/>
        <v>10</v>
      </c>
      <c r="B291" s="20">
        <f t="shared" si="25"/>
        <v>9</v>
      </c>
      <c r="C291" s="20">
        <f t="shared" si="27"/>
        <v>2</v>
      </c>
      <c r="D291" s="21">
        <f t="shared" si="26"/>
        <v>46308</v>
      </c>
      <c r="E291" s="22" t="str">
        <f>IF(AND(OR($C291=6,$C291=7),Weekend_As_Holiday="YES",COUNTIF(Holidays!$A$6:$A$58,'Cycle Calendar'!$D291)&gt;0),"H",IF(AND(OR($C291=6,$C291=7),Weekend_As_Holiday="NO",COUNTIF(Holidays!$A$6:$A$58,'Cycle Calendar'!$D291)&gt;0),"W",IF(OR($C291=6,$C291=7),"W",IF(COUNTIF(Holidays!$A$6:$A$58,'Cycle Calendar'!$D291)&gt;0,"H","R"))))</f>
        <v>R</v>
      </c>
      <c r="F291" s="20" t="str">
        <f t="shared" si="24"/>
        <v>R2</v>
      </c>
    </row>
    <row r="292" spans="1:6" x14ac:dyDescent="0.2">
      <c r="A292" s="20">
        <f t="shared" si="23"/>
        <v>10</v>
      </c>
      <c r="B292" s="20">
        <f t="shared" si="25"/>
        <v>10</v>
      </c>
      <c r="C292" s="20">
        <f t="shared" si="27"/>
        <v>3</v>
      </c>
      <c r="D292" s="21">
        <f t="shared" si="26"/>
        <v>46309</v>
      </c>
      <c r="E292" s="22" t="str">
        <f>IF(AND(OR($C292=6,$C292=7),Weekend_As_Holiday="YES",COUNTIF(Holidays!$A$6:$A$58,'Cycle Calendar'!$D292)&gt;0),"H",IF(AND(OR($C292=6,$C292=7),Weekend_As_Holiday="NO",COUNTIF(Holidays!$A$6:$A$58,'Cycle Calendar'!$D292)&gt;0),"W",IF(OR($C292=6,$C292=7),"W",IF(COUNTIF(Holidays!$A$6:$A$58,'Cycle Calendar'!$D292)&gt;0,"H","R"))))</f>
        <v>R</v>
      </c>
      <c r="F292" s="20" t="str">
        <f t="shared" si="24"/>
        <v>R3</v>
      </c>
    </row>
    <row r="293" spans="1:6" x14ac:dyDescent="0.2">
      <c r="A293" s="20">
        <f t="shared" si="23"/>
        <v>10</v>
      </c>
      <c r="B293" s="20">
        <f t="shared" si="25"/>
        <v>11</v>
      </c>
      <c r="C293" s="20">
        <f t="shared" si="27"/>
        <v>4</v>
      </c>
      <c r="D293" s="21">
        <f t="shared" si="26"/>
        <v>46310</v>
      </c>
      <c r="E293" s="22" t="str">
        <f>IF(AND(OR($C293=6,$C293=7),Weekend_As_Holiday="YES",COUNTIF(Holidays!$A$6:$A$58,'Cycle Calendar'!$D293)&gt;0),"H",IF(AND(OR($C293=6,$C293=7),Weekend_As_Holiday="NO",COUNTIF(Holidays!$A$6:$A$58,'Cycle Calendar'!$D293)&gt;0),"W",IF(OR($C293=6,$C293=7),"W",IF(COUNTIF(Holidays!$A$6:$A$58,'Cycle Calendar'!$D293)&gt;0,"H","R"))))</f>
        <v>R</v>
      </c>
      <c r="F293" s="20" t="str">
        <f t="shared" si="24"/>
        <v>R4</v>
      </c>
    </row>
    <row r="294" spans="1:6" x14ac:dyDescent="0.2">
      <c r="A294" s="20">
        <f t="shared" si="23"/>
        <v>10</v>
      </c>
      <c r="B294" s="20">
        <f t="shared" si="25"/>
        <v>12</v>
      </c>
      <c r="C294" s="20">
        <f t="shared" si="27"/>
        <v>5</v>
      </c>
      <c r="D294" s="21">
        <f t="shared" si="26"/>
        <v>46311</v>
      </c>
      <c r="E294" s="22" t="str">
        <f>IF(AND(OR($C294=6,$C294=7),Weekend_As_Holiday="YES",COUNTIF(Holidays!$A$6:$A$58,'Cycle Calendar'!$D294)&gt;0),"H",IF(AND(OR($C294=6,$C294=7),Weekend_As_Holiday="NO",COUNTIF(Holidays!$A$6:$A$58,'Cycle Calendar'!$D294)&gt;0),"W",IF(OR($C294=6,$C294=7),"W",IF(COUNTIF(Holidays!$A$6:$A$58,'Cycle Calendar'!$D294)&gt;0,"H","R"))))</f>
        <v>R</v>
      </c>
      <c r="F294" s="20" t="str">
        <f t="shared" si="24"/>
        <v>R5</v>
      </c>
    </row>
    <row r="295" spans="1:6" x14ac:dyDescent="0.2">
      <c r="A295" s="20">
        <f t="shared" si="23"/>
        <v>10</v>
      </c>
      <c r="B295" s="20">
        <f t="shared" si="25"/>
        <v>13</v>
      </c>
      <c r="C295" s="20">
        <f t="shared" si="27"/>
        <v>6</v>
      </c>
      <c r="D295" s="21">
        <f t="shared" si="26"/>
        <v>46312</v>
      </c>
      <c r="E295" s="22" t="str">
        <f>IF(AND(OR($C295=6,$C295=7),Weekend_As_Holiday="YES",COUNTIF(Holidays!$A$6:$A$58,'Cycle Calendar'!$D295)&gt;0),"H",IF(AND(OR($C295=6,$C295=7),Weekend_As_Holiday="NO",COUNTIF(Holidays!$A$6:$A$58,'Cycle Calendar'!$D295)&gt;0),"W",IF(OR($C295=6,$C295=7),"W",IF(COUNTIF(Holidays!$A$6:$A$58,'Cycle Calendar'!$D295)&gt;0,"H","R"))))</f>
        <v>W</v>
      </c>
      <c r="F295" s="20" t="str">
        <f t="shared" si="24"/>
        <v>W6</v>
      </c>
    </row>
    <row r="296" spans="1:6" x14ac:dyDescent="0.2">
      <c r="A296" s="20">
        <f t="shared" si="23"/>
        <v>10</v>
      </c>
      <c r="B296" s="20">
        <f t="shared" si="25"/>
        <v>14</v>
      </c>
      <c r="C296" s="20">
        <f t="shared" si="27"/>
        <v>7</v>
      </c>
      <c r="D296" s="21">
        <f t="shared" si="26"/>
        <v>46313</v>
      </c>
      <c r="E296" s="22" t="str">
        <f>IF(AND(OR($C296=6,$C296=7),Weekend_As_Holiday="YES",COUNTIF(Holidays!$A$6:$A$58,'Cycle Calendar'!$D296)&gt;0),"H",IF(AND(OR($C296=6,$C296=7),Weekend_As_Holiday="NO",COUNTIF(Holidays!$A$6:$A$58,'Cycle Calendar'!$D296)&gt;0),"W",IF(OR($C296=6,$C296=7),"W",IF(COUNTIF(Holidays!$A$6:$A$58,'Cycle Calendar'!$D296)&gt;0,"H","R"))))</f>
        <v>W</v>
      </c>
      <c r="F296" s="20" t="str">
        <f t="shared" si="24"/>
        <v>W7</v>
      </c>
    </row>
    <row r="297" spans="1:6" x14ac:dyDescent="0.2">
      <c r="A297" s="20">
        <f t="shared" si="23"/>
        <v>10</v>
      </c>
      <c r="B297" s="20">
        <f t="shared" si="25"/>
        <v>15</v>
      </c>
      <c r="C297" s="20">
        <f t="shared" si="27"/>
        <v>1</v>
      </c>
      <c r="D297" s="21">
        <f t="shared" si="26"/>
        <v>46314</v>
      </c>
      <c r="E297" s="22" t="str">
        <f>IF(AND(OR($C297=6,$C297=7),Weekend_As_Holiday="YES",COUNTIF(Holidays!$A$6:$A$58,'Cycle Calendar'!$D297)&gt;0),"H",IF(AND(OR($C297=6,$C297=7),Weekend_As_Holiday="NO",COUNTIF(Holidays!$A$6:$A$58,'Cycle Calendar'!$D297)&gt;0),"W",IF(OR($C297=6,$C297=7),"W",IF(COUNTIF(Holidays!$A$6:$A$58,'Cycle Calendar'!$D297)&gt;0,"H","R"))))</f>
        <v>R</v>
      </c>
      <c r="F297" s="20" t="str">
        <f t="shared" si="24"/>
        <v>R1</v>
      </c>
    </row>
    <row r="298" spans="1:6" x14ac:dyDescent="0.2">
      <c r="A298" s="20">
        <f t="shared" si="23"/>
        <v>10</v>
      </c>
      <c r="B298" s="20">
        <f t="shared" si="25"/>
        <v>16</v>
      </c>
      <c r="C298" s="20">
        <f t="shared" si="27"/>
        <v>2</v>
      </c>
      <c r="D298" s="21">
        <f t="shared" si="26"/>
        <v>46315</v>
      </c>
      <c r="E298" s="22" t="str">
        <f>IF(AND(OR($C298=6,$C298=7),Weekend_As_Holiday="YES",COUNTIF(Holidays!$A$6:$A$58,'Cycle Calendar'!$D298)&gt;0),"H",IF(AND(OR($C298=6,$C298=7),Weekend_As_Holiday="NO",COUNTIF(Holidays!$A$6:$A$58,'Cycle Calendar'!$D298)&gt;0),"W",IF(OR($C298=6,$C298=7),"W",IF(COUNTIF(Holidays!$A$6:$A$58,'Cycle Calendar'!$D298)&gt;0,"H","R"))))</f>
        <v>R</v>
      </c>
      <c r="F298" s="20" t="str">
        <f t="shared" si="24"/>
        <v>R2</v>
      </c>
    </row>
    <row r="299" spans="1:6" x14ac:dyDescent="0.2">
      <c r="A299" s="20">
        <f t="shared" si="23"/>
        <v>10</v>
      </c>
      <c r="B299" s="20">
        <f t="shared" si="25"/>
        <v>17</v>
      </c>
      <c r="C299" s="20">
        <f t="shared" si="27"/>
        <v>3</v>
      </c>
      <c r="D299" s="21">
        <f t="shared" si="26"/>
        <v>46316</v>
      </c>
      <c r="E299" s="22" t="str">
        <f>IF(AND(OR($C299=6,$C299=7),Weekend_As_Holiday="YES",COUNTIF(Holidays!$A$6:$A$58,'Cycle Calendar'!$D299)&gt;0),"H",IF(AND(OR($C299=6,$C299=7),Weekend_As_Holiday="NO",COUNTIF(Holidays!$A$6:$A$58,'Cycle Calendar'!$D299)&gt;0),"W",IF(OR($C299=6,$C299=7),"W",IF(COUNTIF(Holidays!$A$6:$A$58,'Cycle Calendar'!$D299)&gt;0,"H","R"))))</f>
        <v>R</v>
      </c>
      <c r="F299" s="20" t="str">
        <f t="shared" si="24"/>
        <v>R3</v>
      </c>
    </row>
    <row r="300" spans="1:6" x14ac:dyDescent="0.2">
      <c r="A300" s="20">
        <f t="shared" si="23"/>
        <v>10</v>
      </c>
      <c r="B300" s="20">
        <f t="shared" si="25"/>
        <v>18</v>
      </c>
      <c r="C300" s="20">
        <f t="shared" si="27"/>
        <v>4</v>
      </c>
      <c r="D300" s="21">
        <f t="shared" si="26"/>
        <v>46317</v>
      </c>
      <c r="E300" s="22" t="str">
        <f>IF(AND(OR($C300=6,$C300=7),Weekend_As_Holiday="YES",COUNTIF(Holidays!$A$6:$A$58,'Cycle Calendar'!$D300)&gt;0),"H",IF(AND(OR($C300=6,$C300=7),Weekend_As_Holiday="NO",COUNTIF(Holidays!$A$6:$A$58,'Cycle Calendar'!$D300)&gt;0),"W",IF(OR($C300=6,$C300=7),"W",IF(COUNTIF(Holidays!$A$6:$A$58,'Cycle Calendar'!$D300)&gt;0,"H","R"))))</f>
        <v>R</v>
      </c>
      <c r="F300" s="20" t="str">
        <f t="shared" si="24"/>
        <v>R4</v>
      </c>
    </row>
    <row r="301" spans="1:6" x14ac:dyDescent="0.2">
      <c r="A301" s="20">
        <f t="shared" si="23"/>
        <v>10</v>
      </c>
      <c r="B301" s="20">
        <f t="shared" si="25"/>
        <v>19</v>
      </c>
      <c r="C301" s="20">
        <f t="shared" si="27"/>
        <v>5</v>
      </c>
      <c r="D301" s="21">
        <f t="shared" si="26"/>
        <v>46318</v>
      </c>
      <c r="E301" s="22" t="str">
        <f>IF(AND(OR($C301=6,$C301=7),Weekend_As_Holiday="YES",COUNTIF(Holidays!$A$6:$A$58,'Cycle Calendar'!$D301)&gt;0),"H",IF(AND(OR($C301=6,$C301=7),Weekend_As_Holiday="NO",COUNTIF(Holidays!$A$6:$A$58,'Cycle Calendar'!$D301)&gt;0),"W",IF(OR($C301=6,$C301=7),"W",IF(COUNTIF(Holidays!$A$6:$A$58,'Cycle Calendar'!$D301)&gt;0,"H","R"))))</f>
        <v>R</v>
      </c>
      <c r="F301" s="20" t="str">
        <f t="shared" si="24"/>
        <v>R5</v>
      </c>
    </row>
    <row r="302" spans="1:6" x14ac:dyDescent="0.2">
      <c r="A302" s="20">
        <f t="shared" si="23"/>
        <v>10</v>
      </c>
      <c r="B302" s="20">
        <f t="shared" si="25"/>
        <v>20</v>
      </c>
      <c r="C302" s="20">
        <f t="shared" si="27"/>
        <v>6</v>
      </c>
      <c r="D302" s="21">
        <f t="shared" si="26"/>
        <v>46319</v>
      </c>
      <c r="E302" s="22" t="str">
        <f>IF(AND(OR($C302=6,$C302=7),Weekend_As_Holiday="YES",COUNTIF(Holidays!$A$6:$A$58,'Cycle Calendar'!$D302)&gt;0),"H",IF(AND(OR($C302=6,$C302=7),Weekend_As_Holiday="NO",COUNTIF(Holidays!$A$6:$A$58,'Cycle Calendar'!$D302)&gt;0),"W",IF(OR($C302=6,$C302=7),"W",IF(COUNTIF(Holidays!$A$6:$A$58,'Cycle Calendar'!$D302)&gt;0,"H","R"))))</f>
        <v>W</v>
      </c>
      <c r="F302" s="20" t="str">
        <f t="shared" si="24"/>
        <v>W6</v>
      </c>
    </row>
    <row r="303" spans="1:6" x14ac:dyDescent="0.2">
      <c r="A303" s="20">
        <f t="shared" si="23"/>
        <v>10</v>
      </c>
      <c r="B303" s="20">
        <f t="shared" si="25"/>
        <v>21</v>
      </c>
      <c r="C303" s="20">
        <f t="shared" si="27"/>
        <v>7</v>
      </c>
      <c r="D303" s="21">
        <f t="shared" si="26"/>
        <v>46320</v>
      </c>
      <c r="E303" s="22" t="str">
        <f>IF(AND(OR($C303=6,$C303=7),Weekend_As_Holiday="YES",COUNTIF(Holidays!$A$6:$A$58,'Cycle Calendar'!$D303)&gt;0),"H",IF(AND(OR($C303=6,$C303=7),Weekend_As_Holiday="NO",COUNTIF(Holidays!$A$6:$A$58,'Cycle Calendar'!$D303)&gt;0),"W",IF(OR($C303=6,$C303=7),"W",IF(COUNTIF(Holidays!$A$6:$A$58,'Cycle Calendar'!$D303)&gt;0,"H","R"))))</f>
        <v>W</v>
      </c>
      <c r="F303" s="20" t="str">
        <f t="shared" si="24"/>
        <v>W7</v>
      </c>
    </row>
    <row r="304" spans="1:6" x14ac:dyDescent="0.2">
      <c r="A304" s="20">
        <f t="shared" si="23"/>
        <v>10</v>
      </c>
      <c r="B304" s="20">
        <f t="shared" si="25"/>
        <v>22</v>
      </c>
      <c r="C304" s="20">
        <f t="shared" si="27"/>
        <v>1</v>
      </c>
      <c r="D304" s="21">
        <f t="shared" si="26"/>
        <v>46321</v>
      </c>
      <c r="E304" s="22" t="str">
        <f>IF(AND(OR($C304=6,$C304=7),Weekend_As_Holiday="YES",COUNTIF(Holidays!$A$6:$A$58,'Cycle Calendar'!$D304)&gt;0),"H",IF(AND(OR($C304=6,$C304=7),Weekend_As_Holiday="NO",COUNTIF(Holidays!$A$6:$A$58,'Cycle Calendar'!$D304)&gt;0),"W",IF(OR($C304=6,$C304=7),"W",IF(COUNTIF(Holidays!$A$6:$A$58,'Cycle Calendar'!$D304)&gt;0,"H","R"))))</f>
        <v>R</v>
      </c>
      <c r="F304" s="20" t="str">
        <f t="shared" si="24"/>
        <v>R1</v>
      </c>
    </row>
    <row r="305" spans="1:6" x14ac:dyDescent="0.2">
      <c r="A305" s="20">
        <f t="shared" si="23"/>
        <v>10</v>
      </c>
      <c r="B305" s="20">
        <f t="shared" si="25"/>
        <v>23</v>
      </c>
      <c r="C305" s="20">
        <f t="shared" si="27"/>
        <v>2</v>
      </c>
      <c r="D305" s="21">
        <f t="shared" si="26"/>
        <v>46322</v>
      </c>
      <c r="E305" s="22" t="str">
        <f>IF(AND(OR($C305=6,$C305=7),Weekend_As_Holiday="YES",COUNTIF(Holidays!$A$6:$A$58,'Cycle Calendar'!$D305)&gt;0),"H",IF(AND(OR($C305=6,$C305=7),Weekend_As_Holiday="NO",COUNTIF(Holidays!$A$6:$A$58,'Cycle Calendar'!$D305)&gt;0),"W",IF(OR($C305=6,$C305=7),"W",IF(COUNTIF(Holidays!$A$6:$A$58,'Cycle Calendar'!$D305)&gt;0,"H","R"))))</f>
        <v>R</v>
      </c>
      <c r="F305" s="20" t="str">
        <f t="shared" si="24"/>
        <v>R2</v>
      </c>
    </row>
    <row r="306" spans="1:6" x14ac:dyDescent="0.2">
      <c r="A306" s="20">
        <f t="shared" si="23"/>
        <v>10</v>
      </c>
      <c r="B306" s="20">
        <f t="shared" si="25"/>
        <v>24</v>
      </c>
      <c r="C306" s="20">
        <f t="shared" si="27"/>
        <v>3</v>
      </c>
      <c r="D306" s="21">
        <f t="shared" si="26"/>
        <v>46323</v>
      </c>
      <c r="E306" s="22" t="str">
        <f>IF(AND(OR($C306=6,$C306=7),Weekend_As_Holiday="YES",COUNTIF(Holidays!$A$6:$A$58,'Cycle Calendar'!$D306)&gt;0),"H",IF(AND(OR($C306=6,$C306=7),Weekend_As_Holiday="NO",COUNTIF(Holidays!$A$6:$A$58,'Cycle Calendar'!$D306)&gt;0),"W",IF(OR($C306=6,$C306=7),"W",IF(COUNTIF(Holidays!$A$6:$A$58,'Cycle Calendar'!$D306)&gt;0,"H","R"))))</f>
        <v>R</v>
      </c>
      <c r="F306" s="20" t="str">
        <f t="shared" si="24"/>
        <v>R3</v>
      </c>
    </row>
    <row r="307" spans="1:6" x14ac:dyDescent="0.2">
      <c r="A307" s="20">
        <f t="shared" si="23"/>
        <v>10</v>
      </c>
      <c r="B307" s="20">
        <f>IF(A307=A306,B306+1,1)</f>
        <v>25</v>
      </c>
      <c r="C307" s="20">
        <f t="shared" si="27"/>
        <v>4</v>
      </c>
      <c r="D307" s="21">
        <f t="shared" si="26"/>
        <v>46324</v>
      </c>
      <c r="E307" s="22" t="str">
        <f>IF(AND(OR($C307=6,$C307=7),Weekend_As_Holiday="YES",COUNTIF(Holidays!$A$6:$A$58,'Cycle Calendar'!$D307)&gt;0),"H",IF(AND(OR($C307=6,$C307=7),Weekend_As_Holiday="NO",COUNTIF(Holidays!$A$6:$A$58,'Cycle Calendar'!$D307)&gt;0),"W",IF(OR($C307=6,$C307=7),"W",IF(COUNTIF(Holidays!$A$6:$A$58,'Cycle Calendar'!$D307)&gt;0,"H","R"))))</f>
        <v>R</v>
      </c>
      <c r="F307" s="20" t="str">
        <f t="shared" si="24"/>
        <v>R4</v>
      </c>
    </row>
    <row r="308" spans="1:6" x14ac:dyDescent="0.2">
      <c r="A308" s="20">
        <f t="shared" si="23"/>
        <v>10</v>
      </c>
      <c r="B308" s="20">
        <f t="shared" si="25"/>
        <v>26</v>
      </c>
      <c r="C308" s="20">
        <f t="shared" si="27"/>
        <v>5</v>
      </c>
      <c r="D308" s="21">
        <f t="shared" si="26"/>
        <v>46325</v>
      </c>
      <c r="E308" s="22" t="str">
        <f>IF(AND(OR($C308=6,$C308=7),Weekend_As_Holiday="YES",COUNTIF(Holidays!$A$6:$A$58,'Cycle Calendar'!$D308)&gt;0),"H",IF(AND(OR($C308=6,$C308=7),Weekend_As_Holiday="NO",COUNTIF(Holidays!$A$6:$A$58,'Cycle Calendar'!$D308)&gt;0),"W",IF(OR($C308=6,$C308=7),"W",IF(COUNTIF(Holidays!$A$6:$A$58,'Cycle Calendar'!$D308)&gt;0,"H","R"))))</f>
        <v>R</v>
      </c>
      <c r="F308" s="20" t="str">
        <f t="shared" si="24"/>
        <v>R5</v>
      </c>
    </row>
    <row r="309" spans="1:6" x14ac:dyDescent="0.2">
      <c r="A309" s="20">
        <f t="shared" si="23"/>
        <v>10</v>
      </c>
      <c r="B309" s="20">
        <f t="shared" si="25"/>
        <v>27</v>
      </c>
      <c r="C309" s="20">
        <f t="shared" si="27"/>
        <v>6</v>
      </c>
      <c r="D309" s="21">
        <f t="shared" si="26"/>
        <v>46326</v>
      </c>
      <c r="E309" s="22" t="str">
        <f>IF(AND(OR($C309=6,$C309=7),Weekend_As_Holiday="YES",COUNTIF(Holidays!$A$6:$A$58,'Cycle Calendar'!$D309)&gt;0),"H",IF(AND(OR($C309=6,$C309=7),Weekend_As_Holiday="NO",COUNTIF(Holidays!$A$6:$A$58,'Cycle Calendar'!$D309)&gt;0),"W",IF(OR($C309=6,$C309=7),"W",IF(COUNTIF(Holidays!$A$6:$A$58,'Cycle Calendar'!$D309)&gt;0,"H","R"))))</f>
        <v>W</v>
      </c>
      <c r="F309" s="20" t="str">
        <f t="shared" si="24"/>
        <v>W6</v>
      </c>
    </row>
    <row r="310" spans="1:6" x14ac:dyDescent="0.2">
      <c r="A310" s="20">
        <v>10</v>
      </c>
      <c r="B310" s="20">
        <f t="shared" si="25"/>
        <v>28</v>
      </c>
      <c r="C310" s="20">
        <f t="shared" si="27"/>
        <v>7</v>
      </c>
      <c r="D310" s="21">
        <f t="shared" si="26"/>
        <v>46327</v>
      </c>
      <c r="E310" s="22" t="str">
        <f>IF(AND(OR($C310=6,$C310=7),Weekend_As_Holiday="YES",COUNTIF(Holidays!$A$6:$A$58,'Cycle Calendar'!$D310)&gt;0),"H",IF(AND(OR($C310=6,$C310=7),Weekend_As_Holiday="NO",COUNTIF(Holidays!$A$6:$A$58,'Cycle Calendar'!$D310)&gt;0),"W",IF(OR($C310=6,$C310=7),"W",IF(COUNTIF(Holidays!$A$6:$A$58,'Cycle Calendar'!$D310)&gt;0,"H","R"))))</f>
        <v>W</v>
      </c>
      <c r="F310" s="20" t="str">
        <f t="shared" si="24"/>
        <v>W7</v>
      </c>
    </row>
    <row r="311" spans="1:6" x14ac:dyDescent="0.2">
      <c r="A311" s="20">
        <v>11</v>
      </c>
      <c r="B311" s="20">
        <f t="shared" si="25"/>
        <v>1</v>
      </c>
      <c r="C311" s="20">
        <f t="shared" si="27"/>
        <v>1</v>
      </c>
      <c r="D311" s="21">
        <f t="shared" si="26"/>
        <v>46328</v>
      </c>
      <c r="E311" s="22" t="str">
        <f>IF(AND(OR($C311=6,$C311=7),Weekend_As_Holiday="YES",COUNTIF(Holidays!$A$6:$A$58,'Cycle Calendar'!$D311)&gt;0),"H",IF(AND(OR($C311=6,$C311=7),Weekend_As_Holiday="NO",COUNTIF(Holidays!$A$6:$A$58,'Cycle Calendar'!$D311)&gt;0),"W",IF(OR($C311=6,$C311=7),"W",IF(COUNTIF(Holidays!$A$6:$A$58,'Cycle Calendar'!$D311)&gt;0,"H","R"))))</f>
        <v>R</v>
      </c>
      <c r="F311" s="20" t="str">
        <f t="shared" si="24"/>
        <v>R1</v>
      </c>
    </row>
    <row r="312" spans="1:6" x14ac:dyDescent="0.2">
      <c r="A312" s="20">
        <f t="shared" si="23"/>
        <v>11</v>
      </c>
      <c r="B312" s="20">
        <f t="shared" si="25"/>
        <v>2</v>
      </c>
      <c r="C312" s="20">
        <f t="shared" si="27"/>
        <v>2</v>
      </c>
      <c r="D312" s="21">
        <f t="shared" si="26"/>
        <v>46329</v>
      </c>
      <c r="E312" s="22" t="str">
        <f>IF(AND(OR($C312=6,$C312=7),Weekend_As_Holiday="YES",COUNTIF(Holidays!$A$6:$A$58,'Cycle Calendar'!$D312)&gt;0),"H",IF(AND(OR($C312=6,$C312=7),Weekend_As_Holiday="NO",COUNTIF(Holidays!$A$6:$A$58,'Cycle Calendar'!$D312)&gt;0),"W",IF(OR($C312=6,$C312=7),"W",IF(COUNTIF(Holidays!$A$6:$A$58,'Cycle Calendar'!$D312)&gt;0,"H","R"))))</f>
        <v>R</v>
      </c>
      <c r="F312" s="20" t="str">
        <f t="shared" si="24"/>
        <v>R2</v>
      </c>
    </row>
    <row r="313" spans="1:6" x14ac:dyDescent="0.2">
      <c r="A313" s="20">
        <f t="shared" si="23"/>
        <v>11</v>
      </c>
      <c r="B313" s="20">
        <f t="shared" si="25"/>
        <v>3</v>
      </c>
      <c r="C313" s="20">
        <f t="shared" si="27"/>
        <v>3</v>
      </c>
      <c r="D313" s="21">
        <f t="shared" si="26"/>
        <v>46330</v>
      </c>
      <c r="E313" s="22" t="str">
        <f>IF(AND(OR($C313=6,$C313=7),Weekend_As_Holiday="YES",COUNTIF(Holidays!$A$6:$A$58,'Cycle Calendar'!$D313)&gt;0),"H",IF(AND(OR($C313=6,$C313=7),Weekend_As_Holiday="NO",COUNTIF(Holidays!$A$6:$A$58,'Cycle Calendar'!$D313)&gt;0),"W",IF(OR($C313=6,$C313=7),"W",IF(COUNTIF(Holidays!$A$6:$A$58,'Cycle Calendar'!$D313)&gt;0,"H","R"))))</f>
        <v>R</v>
      </c>
      <c r="F313" s="20" t="str">
        <f t="shared" si="24"/>
        <v>R3</v>
      </c>
    </row>
    <row r="314" spans="1:6" x14ac:dyDescent="0.2">
      <c r="A314" s="20">
        <f t="shared" si="23"/>
        <v>11</v>
      </c>
      <c r="B314" s="20">
        <f t="shared" si="25"/>
        <v>4</v>
      </c>
      <c r="C314" s="20">
        <f t="shared" si="27"/>
        <v>4</v>
      </c>
      <c r="D314" s="21">
        <f t="shared" si="26"/>
        <v>46331</v>
      </c>
      <c r="E314" s="22" t="str">
        <f>IF(AND(OR($C314=6,$C314=7),Weekend_As_Holiday="YES",COUNTIF(Holidays!$A$6:$A$58,'Cycle Calendar'!$D314)&gt;0),"H",IF(AND(OR($C314=6,$C314=7),Weekend_As_Holiday="NO",COUNTIF(Holidays!$A$6:$A$58,'Cycle Calendar'!$D314)&gt;0),"W",IF(OR($C314=6,$C314=7),"W",IF(COUNTIF(Holidays!$A$6:$A$58,'Cycle Calendar'!$D314)&gt;0,"H","R"))))</f>
        <v>R</v>
      </c>
      <c r="F314" s="20" t="str">
        <f t="shared" si="24"/>
        <v>R4</v>
      </c>
    </row>
    <row r="315" spans="1:6" x14ac:dyDescent="0.2">
      <c r="A315" s="20">
        <f t="shared" si="23"/>
        <v>11</v>
      </c>
      <c r="B315" s="20">
        <f t="shared" si="25"/>
        <v>5</v>
      </c>
      <c r="C315" s="20">
        <f t="shared" si="27"/>
        <v>5</v>
      </c>
      <c r="D315" s="21">
        <f t="shared" si="26"/>
        <v>46332</v>
      </c>
      <c r="E315" s="22" t="str">
        <f>IF(AND(OR($C315=6,$C315=7),Weekend_As_Holiday="YES",COUNTIF(Holidays!$A$6:$A$58,'Cycle Calendar'!$D315)&gt;0),"H",IF(AND(OR($C315=6,$C315=7),Weekend_As_Holiday="NO",COUNTIF(Holidays!$A$6:$A$58,'Cycle Calendar'!$D315)&gt;0),"W",IF(OR($C315=6,$C315=7),"W",IF(COUNTIF(Holidays!$A$6:$A$58,'Cycle Calendar'!$D315)&gt;0,"H","R"))))</f>
        <v>R</v>
      </c>
      <c r="F315" s="20" t="str">
        <f t="shared" si="24"/>
        <v>R5</v>
      </c>
    </row>
    <row r="316" spans="1:6" x14ac:dyDescent="0.2">
      <c r="A316" s="20">
        <f t="shared" si="23"/>
        <v>11</v>
      </c>
      <c r="B316" s="20">
        <f t="shared" si="25"/>
        <v>6</v>
      </c>
      <c r="C316" s="20">
        <f t="shared" si="27"/>
        <v>6</v>
      </c>
      <c r="D316" s="21">
        <f t="shared" si="26"/>
        <v>46333</v>
      </c>
      <c r="E316" s="22" t="str">
        <f>IF(AND(OR($C316=6,$C316=7),Weekend_As_Holiday="YES",COUNTIF(Holidays!$A$6:$A$58,'Cycle Calendar'!$D316)&gt;0),"H",IF(AND(OR($C316=6,$C316=7),Weekend_As_Holiday="NO",COUNTIF(Holidays!$A$6:$A$58,'Cycle Calendar'!$D316)&gt;0),"W",IF(OR($C316=6,$C316=7),"W",IF(COUNTIF(Holidays!$A$6:$A$58,'Cycle Calendar'!$D316)&gt;0,"H","R"))))</f>
        <v>W</v>
      </c>
      <c r="F316" s="20" t="str">
        <f t="shared" si="24"/>
        <v>W6</v>
      </c>
    </row>
    <row r="317" spans="1:6" x14ac:dyDescent="0.2">
      <c r="A317" s="20">
        <f t="shared" si="23"/>
        <v>11</v>
      </c>
      <c r="B317" s="20">
        <f t="shared" si="25"/>
        <v>7</v>
      </c>
      <c r="C317" s="20">
        <f t="shared" si="27"/>
        <v>7</v>
      </c>
      <c r="D317" s="21">
        <f t="shared" si="26"/>
        <v>46334</v>
      </c>
      <c r="E317" s="22" t="str">
        <f>IF(AND(OR($C317=6,$C317=7),Weekend_As_Holiday="YES",COUNTIF(Holidays!$A$6:$A$58,'Cycle Calendar'!$D317)&gt;0),"H",IF(AND(OR($C317=6,$C317=7),Weekend_As_Holiday="NO",COUNTIF(Holidays!$A$6:$A$58,'Cycle Calendar'!$D317)&gt;0),"W",IF(OR($C317=6,$C317=7),"W",IF(COUNTIF(Holidays!$A$6:$A$58,'Cycle Calendar'!$D317)&gt;0,"H","R"))))</f>
        <v>W</v>
      </c>
      <c r="F317" s="20" t="str">
        <f t="shared" si="24"/>
        <v>W7</v>
      </c>
    </row>
    <row r="318" spans="1:6" x14ac:dyDescent="0.2">
      <c r="A318" s="20">
        <f t="shared" si="23"/>
        <v>11</v>
      </c>
      <c r="B318" s="20">
        <f t="shared" si="25"/>
        <v>8</v>
      </c>
      <c r="C318" s="20">
        <f t="shared" si="27"/>
        <v>1</v>
      </c>
      <c r="D318" s="21">
        <f t="shared" si="26"/>
        <v>46335</v>
      </c>
      <c r="E318" s="22" t="str">
        <f>IF(AND(OR($C318=6,$C318=7),Weekend_As_Holiday="YES",COUNTIF(Holidays!$A$6:$A$58,'Cycle Calendar'!$D318)&gt;0),"H",IF(AND(OR($C318=6,$C318=7),Weekend_As_Holiday="NO",COUNTIF(Holidays!$A$6:$A$58,'Cycle Calendar'!$D318)&gt;0),"W",IF(OR($C318=6,$C318=7),"W",IF(COUNTIF(Holidays!$A$6:$A$58,'Cycle Calendar'!$D318)&gt;0,"H","R"))))</f>
        <v>R</v>
      </c>
      <c r="F318" s="20" t="str">
        <f t="shared" si="24"/>
        <v>R1</v>
      </c>
    </row>
    <row r="319" spans="1:6" x14ac:dyDescent="0.2">
      <c r="A319" s="20">
        <f t="shared" si="23"/>
        <v>11</v>
      </c>
      <c r="B319" s="20">
        <f t="shared" si="25"/>
        <v>9</v>
      </c>
      <c r="C319" s="20">
        <f t="shared" si="27"/>
        <v>2</v>
      </c>
      <c r="D319" s="21">
        <f t="shared" si="26"/>
        <v>46336</v>
      </c>
      <c r="E319" s="22" t="str">
        <f>IF(AND(OR($C319=6,$C319=7),Weekend_As_Holiday="YES",COUNTIF(Holidays!$A$6:$A$58,'Cycle Calendar'!$D319)&gt;0),"H",IF(AND(OR($C319=6,$C319=7),Weekend_As_Holiday="NO",COUNTIF(Holidays!$A$6:$A$58,'Cycle Calendar'!$D319)&gt;0),"W",IF(OR($C319=6,$C319=7),"W",IF(COUNTIF(Holidays!$A$6:$A$58,'Cycle Calendar'!$D319)&gt;0,"H","R"))))</f>
        <v>R</v>
      </c>
      <c r="F319" s="20" t="str">
        <f t="shared" si="24"/>
        <v>R2</v>
      </c>
    </row>
    <row r="320" spans="1:6" x14ac:dyDescent="0.2">
      <c r="A320" s="20">
        <f t="shared" si="23"/>
        <v>11</v>
      </c>
      <c r="B320" s="20">
        <f t="shared" si="25"/>
        <v>10</v>
      </c>
      <c r="C320" s="20">
        <f t="shared" si="27"/>
        <v>3</v>
      </c>
      <c r="D320" s="21">
        <f t="shared" si="26"/>
        <v>46337</v>
      </c>
      <c r="E320" s="22" t="str">
        <f>IF(AND(OR($C320=6,$C320=7),Weekend_As_Holiday="YES",COUNTIF(Holidays!$A$6:$A$58,'Cycle Calendar'!$D320)&gt;0),"H",IF(AND(OR($C320=6,$C320=7),Weekend_As_Holiday="NO",COUNTIF(Holidays!$A$6:$A$58,'Cycle Calendar'!$D320)&gt;0),"W",IF(OR($C320=6,$C320=7),"W",IF(COUNTIF(Holidays!$A$6:$A$58,'Cycle Calendar'!$D320)&gt;0,"H","R"))))</f>
        <v>R</v>
      </c>
      <c r="F320" s="20" t="str">
        <f t="shared" si="24"/>
        <v>R3</v>
      </c>
    </row>
    <row r="321" spans="1:6" x14ac:dyDescent="0.2">
      <c r="A321" s="20">
        <f t="shared" si="23"/>
        <v>11</v>
      </c>
      <c r="B321" s="20">
        <f t="shared" si="25"/>
        <v>11</v>
      </c>
      <c r="C321" s="20">
        <f t="shared" si="27"/>
        <v>4</v>
      </c>
      <c r="D321" s="21">
        <f t="shared" si="26"/>
        <v>46338</v>
      </c>
      <c r="E321" s="22" t="str">
        <f>IF(AND(OR($C321=6,$C321=7),Weekend_As_Holiday="YES",COUNTIF(Holidays!$A$6:$A$58,'Cycle Calendar'!$D321)&gt;0),"H",IF(AND(OR($C321=6,$C321=7),Weekend_As_Holiday="NO",COUNTIF(Holidays!$A$6:$A$58,'Cycle Calendar'!$D321)&gt;0),"W",IF(OR($C321=6,$C321=7),"W",IF(COUNTIF(Holidays!$A$6:$A$58,'Cycle Calendar'!$D321)&gt;0,"H","R"))))</f>
        <v>R</v>
      </c>
      <c r="F321" s="20" t="str">
        <f t="shared" si="24"/>
        <v>R4</v>
      </c>
    </row>
    <row r="322" spans="1:6" x14ac:dyDescent="0.2">
      <c r="A322" s="20">
        <f t="shared" si="23"/>
        <v>11</v>
      </c>
      <c r="B322" s="20">
        <f t="shared" si="25"/>
        <v>12</v>
      </c>
      <c r="C322" s="20">
        <f t="shared" si="27"/>
        <v>5</v>
      </c>
      <c r="D322" s="21">
        <f t="shared" si="26"/>
        <v>46339</v>
      </c>
      <c r="E322" s="22" t="str">
        <f>IF(AND(OR($C322=6,$C322=7),Weekend_As_Holiday="YES",COUNTIF(Holidays!$A$6:$A$58,'Cycle Calendar'!$D322)&gt;0),"H",IF(AND(OR($C322=6,$C322=7),Weekend_As_Holiday="NO",COUNTIF(Holidays!$A$6:$A$58,'Cycle Calendar'!$D322)&gt;0),"W",IF(OR($C322=6,$C322=7),"W",IF(COUNTIF(Holidays!$A$6:$A$58,'Cycle Calendar'!$D322)&gt;0,"H","R"))))</f>
        <v>R</v>
      </c>
      <c r="F322" s="20" t="str">
        <f t="shared" si="24"/>
        <v>R5</v>
      </c>
    </row>
    <row r="323" spans="1:6" x14ac:dyDescent="0.2">
      <c r="A323" s="20">
        <f t="shared" si="23"/>
        <v>11</v>
      </c>
      <c r="B323" s="20">
        <f t="shared" si="25"/>
        <v>13</v>
      </c>
      <c r="C323" s="20">
        <f t="shared" si="27"/>
        <v>6</v>
      </c>
      <c r="D323" s="21">
        <f t="shared" si="26"/>
        <v>46340</v>
      </c>
      <c r="E323" s="22" t="str">
        <f>IF(AND(OR($C323=6,$C323=7),Weekend_As_Holiday="YES",COUNTIF(Holidays!$A$6:$A$58,'Cycle Calendar'!$D323)&gt;0),"H",IF(AND(OR($C323=6,$C323=7),Weekend_As_Holiday="NO",COUNTIF(Holidays!$A$6:$A$58,'Cycle Calendar'!$D323)&gt;0),"W",IF(OR($C323=6,$C323=7),"W",IF(COUNTIF(Holidays!$A$6:$A$58,'Cycle Calendar'!$D323)&gt;0,"H","R"))))</f>
        <v>W</v>
      </c>
      <c r="F323" s="20" t="str">
        <f t="shared" si="24"/>
        <v>W6</v>
      </c>
    </row>
    <row r="324" spans="1:6" x14ac:dyDescent="0.2">
      <c r="A324" s="20">
        <f t="shared" si="23"/>
        <v>11</v>
      </c>
      <c r="B324" s="20">
        <f t="shared" si="25"/>
        <v>14</v>
      </c>
      <c r="C324" s="20">
        <f t="shared" si="27"/>
        <v>7</v>
      </c>
      <c r="D324" s="21">
        <f t="shared" si="26"/>
        <v>46341</v>
      </c>
      <c r="E324" s="22" t="str">
        <f>IF(AND(OR($C324=6,$C324=7),Weekend_As_Holiday="YES",COUNTIF(Holidays!$A$6:$A$58,'Cycle Calendar'!$D324)&gt;0),"H",IF(AND(OR($C324=6,$C324=7),Weekend_As_Holiday="NO",COUNTIF(Holidays!$A$6:$A$58,'Cycle Calendar'!$D324)&gt;0),"W",IF(OR($C324=6,$C324=7),"W",IF(COUNTIF(Holidays!$A$6:$A$58,'Cycle Calendar'!$D324)&gt;0,"H","R"))))</f>
        <v>W</v>
      </c>
      <c r="F324" s="20" t="str">
        <f t="shared" si="24"/>
        <v>W7</v>
      </c>
    </row>
    <row r="325" spans="1:6" x14ac:dyDescent="0.2">
      <c r="A325" s="20">
        <f t="shared" si="23"/>
        <v>11</v>
      </c>
      <c r="B325" s="20">
        <f t="shared" si="25"/>
        <v>15</v>
      </c>
      <c r="C325" s="20">
        <f t="shared" si="27"/>
        <v>1</v>
      </c>
      <c r="D325" s="21">
        <f t="shared" si="26"/>
        <v>46342</v>
      </c>
      <c r="E325" s="22" t="str">
        <f>IF(AND(OR($C325=6,$C325=7),Weekend_As_Holiday="YES",COUNTIF(Holidays!$A$6:$A$58,'Cycle Calendar'!$D325)&gt;0),"H",IF(AND(OR($C325=6,$C325=7),Weekend_As_Holiday="NO",COUNTIF(Holidays!$A$6:$A$58,'Cycle Calendar'!$D325)&gt;0),"W",IF(OR($C325=6,$C325=7),"W",IF(COUNTIF(Holidays!$A$6:$A$58,'Cycle Calendar'!$D325)&gt;0,"H","R"))))</f>
        <v>R</v>
      </c>
      <c r="F325" s="20" t="str">
        <f t="shared" si="24"/>
        <v>R1</v>
      </c>
    </row>
    <row r="326" spans="1:6" x14ac:dyDescent="0.2">
      <c r="A326" s="20">
        <f t="shared" ref="A326:A371" si="28">IF(Calendar_Type="Calendar-Based",MONTH(D326),INT(((ROW(A321)-1)/(Days_per_Cycle+Number_Of_Weekends)))*1+1)</f>
        <v>11</v>
      </c>
      <c r="B326" s="20">
        <f t="shared" si="25"/>
        <v>16</v>
      </c>
      <c r="C326" s="20">
        <f t="shared" si="27"/>
        <v>2</v>
      </c>
      <c r="D326" s="21">
        <f t="shared" si="26"/>
        <v>46343</v>
      </c>
      <c r="E326" s="22" t="str">
        <f>IF(AND(OR($C326=6,$C326=7),Weekend_As_Holiday="YES",COUNTIF(Holidays!$A$6:$A$58,'Cycle Calendar'!$D326)&gt;0),"H",IF(AND(OR($C326=6,$C326=7),Weekend_As_Holiday="NO",COUNTIF(Holidays!$A$6:$A$58,'Cycle Calendar'!$D326)&gt;0),"W",IF(OR($C326=6,$C326=7),"W",IF(COUNTIF(Holidays!$A$6:$A$58,'Cycle Calendar'!$D326)&gt;0,"H","R"))))</f>
        <v>R</v>
      </c>
      <c r="F326" s="20" t="str">
        <f t="shared" ref="F326:F371" si="29">E326&amp;C326</f>
        <v>R2</v>
      </c>
    </row>
    <row r="327" spans="1:6" x14ac:dyDescent="0.2">
      <c r="A327" s="20">
        <f t="shared" si="28"/>
        <v>11</v>
      </c>
      <c r="B327" s="20">
        <f t="shared" ref="B327:B371" si="30">IF(A327=A326,B326+1,1)</f>
        <v>17</v>
      </c>
      <c r="C327" s="20">
        <f t="shared" si="27"/>
        <v>3</v>
      </c>
      <c r="D327" s="21">
        <f t="shared" si="26"/>
        <v>46344</v>
      </c>
      <c r="E327" s="22" t="str">
        <f>IF(AND(OR($C327=6,$C327=7),Weekend_As_Holiday="YES",COUNTIF(Holidays!$A$6:$A$58,'Cycle Calendar'!$D327)&gt;0),"H",IF(AND(OR($C327=6,$C327=7),Weekend_As_Holiday="NO",COUNTIF(Holidays!$A$6:$A$58,'Cycle Calendar'!$D327)&gt;0),"W",IF(OR($C327=6,$C327=7),"W",IF(COUNTIF(Holidays!$A$6:$A$58,'Cycle Calendar'!$D327)&gt;0,"H","R"))))</f>
        <v>R</v>
      </c>
      <c r="F327" s="20" t="str">
        <f t="shared" si="29"/>
        <v>R3</v>
      </c>
    </row>
    <row r="328" spans="1:6" x14ac:dyDescent="0.2">
      <c r="A328" s="20">
        <f t="shared" si="28"/>
        <v>11</v>
      </c>
      <c r="B328" s="20">
        <f t="shared" si="30"/>
        <v>18</v>
      </c>
      <c r="C328" s="20">
        <f t="shared" si="27"/>
        <v>4</v>
      </c>
      <c r="D328" s="21">
        <f t="shared" ref="D328:D371" si="31">D327+1</f>
        <v>46345</v>
      </c>
      <c r="E328" s="22" t="str">
        <f>IF(AND(OR($C328=6,$C328=7),Weekend_As_Holiday="YES",COUNTIF(Holidays!$A$6:$A$58,'Cycle Calendar'!$D328)&gt;0),"H",IF(AND(OR($C328=6,$C328=7),Weekend_As_Holiday="NO",COUNTIF(Holidays!$A$6:$A$58,'Cycle Calendar'!$D328)&gt;0),"W",IF(OR($C328=6,$C328=7),"W",IF(COUNTIF(Holidays!$A$6:$A$58,'Cycle Calendar'!$D328)&gt;0,"H","R"))))</f>
        <v>R</v>
      </c>
      <c r="F328" s="20" t="str">
        <f t="shared" si="29"/>
        <v>R4</v>
      </c>
    </row>
    <row r="329" spans="1:6" x14ac:dyDescent="0.2">
      <c r="A329" s="20">
        <f t="shared" si="28"/>
        <v>11</v>
      </c>
      <c r="B329" s="20">
        <f t="shared" si="30"/>
        <v>19</v>
      </c>
      <c r="C329" s="20">
        <f t="shared" ref="C329:C371" si="32">WEEKDAY(D329,2)</f>
        <v>5</v>
      </c>
      <c r="D329" s="21">
        <f t="shared" si="31"/>
        <v>46346</v>
      </c>
      <c r="E329" s="22" t="str">
        <f>IF(AND(OR($C329=6,$C329=7),Weekend_As_Holiday="YES",COUNTIF(Holidays!$A$6:$A$58,'Cycle Calendar'!$D329)&gt;0),"H",IF(AND(OR($C329=6,$C329=7),Weekend_As_Holiday="NO",COUNTIF(Holidays!$A$6:$A$58,'Cycle Calendar'!$D329)&gt;0),"W",IF(OR($C329=6,$C329=7),"W",IF(COUNTIF(Holidays!$A$6:$A$58,'Cycle Calendar'!$D329)&gt;0,"H","R"))))</f>
        <v>R</v>
      </c>
      <c r="F329" s="20" t="str">
        <f t="shared" si="29"/>
        <v>R5</v>
      </c>
    </row>
    <row r="330" spans="1:6" x14ac:dyDescent="0.2">
      <c r="A330" s="20">
        <f t="shared" si="28"/>
        <v>11</v>
      </c>
      <c r="B330" s="20">
        <f t="shared" si="30"/>
        <v>20</v>
      </c>
      <c r="C330" s="20">
        <f t="shared" si="32"/>
        <v>6</v>
      </c>
      <c r="D330" s="21">
        <f t="shared" si="31"/>
        <v>46347</v>
      </c>
      <c r="E330" s="22" t="str">
        <f>IF(AND(OR($C330=6,$C330=7),Weekend_As_Holiday="YES",COUNTIF(Holidays!$A$6:$A$58,'Cycle Calendar'!$D330)&gt;0),"H",IF(AND(OR($C330=6,$C330=7),Weekend_As_Holiday="NO",COUNTIF(Holidays!$A$6:$A$58,'Cycle Calendar'!$D330)&gt;0),"W",IF(OR($C330=6,$C330=7),"W",IF(COUNTIF(Holidays!$A$6:$A$58,'Cycle Calendar'!$D330)&gt;0,"H","R"))))</f>
        <v>W</v>
      </c>
      <c r="F330" s="20" t="str">
        <f t="shared" si="29"/>
        <v>W6</v>
      </c>
    </row>
    <row r="331" spans="1:6" x14ac:dyDescent="0.2">
      <c r="A331" s="20">
        <f t="shared" si="28"/>
        <v>11</v>
      </c>
      <c r="B331" s="20">
        <f t="shared" si="30"/>
        <v>21</v>
      </c>
      <c r="C331" s="20">
        <f t="shared" si="32"/>
        <v>7</v>
      </c>
      <c r="D331" s="21">
        <f t="shared" si="31"/>
        <v>46348</v>
      </c>
      <c r="E331" s="22" t="str">
        <f>IF(AND(OR($C331=6,$C331=7),Weekend_As_Holiday="YES",COUNTIF(Holidays!$A$6:$A$58,'Cycle Calendar'!$D331)&gt;0),"H",IF(AND(OR($C331=6,$C331=7),Weekend_As_Holiday="NO",COUNTIF(Holidays!$A$6:$A$58,'Cycle Calendar'!$D331)&gt;0),"W",IF(OR($C331=6,$C331=7),"W",IF(COUNTIF(Holidays!$A$6:$A$58,'Cycle Calendar'!$D331)&gt;0,"H","R"))))</f>
        <v>W</v>
      </c>
      <c r="F331" s="20" t="str">
        <f t="shared" si="29"/>
        <v>W7</v>
      </c>
    </row>
    <row r="332" spans="1:6" x14ac:dyDescent="0.2">
      <c r="A332" s="20">
        <f t="shared" si="28"/>
        <v>11</v>
      </c>
      <c r="B332" s="20">
        <f t="shared" si="30"/>
        <v>22</v>
      </c>
      <c r="C332" s="20">
        <f t="shared" si="32"/>
        <v>1</v>
      </c>
      <c r="D332" s="21">
        <f t="shared" si="31"/>
        <v>46349</v>
      </c>
      <c r="E332" s="22" t="str">
        <f>IF(AND(OR($C332=6,$C332=7),Weekend_As_Holiday="YES",COUNTIF(Holidays!$A$6:$A$58,'Cycle Calendar'!$D332)&gt;0),"H",IF(AND(OR($C332=6,$C332=7),Weekend_As_Holiday="NO",COUNTIF(Holidays!$A$6:$A$58,'Cycle Calendar'!$D332)&gt;0),"W",IF(OR($C332=6,$C332=7),"W",IF(COUNTIF(Holidays!$A$6:$A$58,'Cycle Calendar'!$D332)&gt;0,"H","R"))))</f>
        <v>R</v>
      </c>
      <c r="F332" s="20" t="str">
        <f t="shared" si="29"/>
        <v>R1</v>
      </c>
    </row>
    <row r="333" spans="1:6" x14ac:dyDescent="0.2">
      <c r="A333" s="20">
        <f t="shared" si="28"/>
        <v>11</v>
      </c>
      <c r="B333" s="20">
        <f t="shared" si="30"/>
        <v>23</v>
      </c>
      <c r="C333" s="20">
        <f t="shared" si="32"/>
        <v>2</v>
      </c>
      <c r="D333" s="21">
        <f t="shared" si="31"/>
        <v>46350</v>
      </c>
      <c r="E333" s="22" t="str">
        <f>IF(AND(OR($C333=6,$C333=7),Weekend_As_Holiday="YES",COUNTIF(Holidays!$A$6:$A$58,'Cycle Calendar'!$D333)&gt;0),"H",IF(AND(OR($C333=6,$C333=7),Weekend_As_Holiday="NO",COUNTIF(Holidays!$A$6:$A$58,'Cycle Calendar'!$D333)&gt;0),"W",IF(OR($C333=6,$C333=7),"W",IF(COUNTIF(Holidays!$A$6:$A$58,'Cycle Calendar'!$D333)&gt;0,"H","R"))))</f>
        <v>R</v>
      </c>
      <c r="F333" s="20" t="str">
        <f t="shared" si="29"/>
        <v>R2</v>
      </c>
    </row>
    <row r="334" spans="1:6" x14ac:dyDescent="0.2">
      <c r="A334" s="20">
        <f t="shared" si="28"/>
        <v>11</v>
      </c>
      <c r="B334" s="20">
        <f t="shared" si="30"/>
        <v>24</v>
      </c>
      <c r="C334" s="20">
        <f t="shared" si="32"/>
        <v>3</v>
      </c>
      <c r="D334" s="21">
        <f t="shared" si="31"/>
        <v>46351</v>
      </c>
      <c r="E334" s="22" t="str">
        <f>IF(AND(OR($C334=6,$C334=7),Weekend_As_Holiday="YES",COUNTIF(Holidays!$A$6:$A$58,'Cycle Calendar'!$D334)&gt;0),"H",IF(AND(OR($C334=6,$C334=7),Weekend_As_Holiday="NO",COUNTIF(Holidays!$A$6:$A$58,'Cycle Calendar'!$D334)&gt;0),"W",IF(OR($C334=6,$C334=7),"W",IF(COUNTIF(Holidays!$A$6:$A$58,'Cycle Calendar'!$D334)&gt;0,"H","R"))))</f>
        <v>R</v>
      </c>
      <c r="F334" s="20" t="str">
        <f t="shared" si="29"/>
        <v>R3</v>
      </c>
    </row>
    <row r="335" spans="1:6" x14ac:dyDescent="0.2">
      <c r="A335" s="20">
        <f t="shared" si="28"/>
        <v>11</v>
      </c>
      <c r="B335" s="20">
        <f t="shared" si="30"/>
        <v>25</v>
      </c>
      <c r="C335" s="20">
        <f t="shared" si="32"/>
        <v>4</v>
      </c>
      <c r="D335" s="21">
        <f t="shared" si="31"/>
        <v>46352</v>
      </c>
      <c r="E335" s="22" t="str">
        <f>IF(AND(OR($C335=6,$C335=7),Weekend_As_Holiday="YES",COUNTIF(Holidays!$A$6:$A$58,'Cycle Calendar'!$D335)&gt;0),"H",IF(AND(OR($C335=6,$C335=7),Weekend_As_Holiday="NO",COUNTIF(Holidays!$A$6:$A$58,'Cycle Calendar'!$D335)&gt;0),"W",IF(OR($C335=6,$C335=7),"W",IF(COUNTIF(Holidays!$A$6:$A$58,'Cycle Calendar'!$D335)&gt;0,"H","R"))))</f>
        <v>R</v>
      </c>
      <c r="F335" s="20" t="str">
        <f t="shared" si="29"/>
        <v>R4</v>
      </c>
    </row>
    <row r="336" spans="1:6" x14ac:dyDescent="0.2">
      <c r="A336" s="20">
        <f t="shared" si="28"/>
        <v>11</v>
      </c>
      <c r="B336" s="20">
        <f t="shared" si="30"/>
        <v>26</v>
      </c>
      <c r="C336" s="20">
        <f t="shared" si="32"/>
        <v>5</v>
      </c>
      <c r="D336" s="21">
        <f t="shared" si="31"/>
        <v>46353</v>
      </c>
      <c r="E336" s="22" t="str">
        <f>IF(AND(OR($C336=6,$C336=7),Weekend_As_Holiday="YES",COUNTIF(Holidays!$A$6:$A$58,'Cycle Calendar'!$D336)&gt;0),"H",IF(AND(OR($C336=6,$C336=7),Weekend_As_Holiday="NO",COUNTIF(Holidays!$A$6:$A$58,'Cycle Calendar'!$D336)&gt;0),"W",IF(OR($C336=6,$C336=7),"W",IF(COUNTIF(Holidays!$A$6:$A$58,'Cycle Calendar'!$D336)&gt;0,"H","R"))))</f>
        <v>R</v>
      </c>
      <c r="F336" s="20" t="str">
        <f t="shared" si="29"/>
        <v>R5</v>
      </c>
    </row>
    <row r="337" spans="1:6" x14ac:dyDescent="0.2">
      <c r="A337" s="20">
        <f t="shared" si="28"/>
        <v>11</v>
      </c>
      <c r="B337" s="20">
        <f t="shared" si="30"/>
        <v>27</v>
      </c>
      <c r="C337" s="20">
        <f t="shared" si="32"/>
        <v>6</v>
      </c>
      <c r="D337" s="21">
        <f t="shared" si="31"/>
        <v>46354</v>
      </c>
      <c r="E337" s="22" t="str">
        <f>IF(AND(OR($C337=6,$C337=7),Weekend_As_Holiday="YES",COUNTIF(Holidays!$A$6:$A$58,'Cycle Calendar'!$D337)&gt;0),"H",IF(AND(OR($C337=6,$C337=7),Weekend_As_Holiday="NO",COUNTIF(Holidays!$A$6:$A$58,'Cycle Calendar'!$D337)&gt;0),"W",IF(OR($C337=6,$C337=7),"W",IF(COUNTIF(Holidays!$A$6:$A$58,'Cycle Calendar'!$D337)&gt;0,"H","R"))))</f>
        <v>W</v>
      </c>
      <c r="F337" s="20" t="str">
        <f t="shared" si="29"/>
        <v>W6</v>
      </c>
    </row>
    <row r="338" spans="1:6" x14ac:dyDescent="0.2">
      <c r="A338" s="20">
        <f t="shared" si="28"/>
        <v>11</v>
      </c>
      <c r="B338" s="20">
        <f t="shared" si="30"/>
        <v>28</v>
      </c>
      <c r="C338" s="20">
        <f t="shared" si="32"/>
        <v>7</v>
      </c>
      <c r="D338" s="21">
        <f t="shared" si="31"/>
        <v>46355</v>
      </c>
      <c r="E338" s="22" t="str">
        <f>IF(AND(OR($C338=6,$C338=7),Weekend_As_Holiday="YES",COUNTIF(Holidays!$A$6:$A$58,'Cycle Calendar'!$D338)&gt;0),"H",IF(AND(OR($C338=6,$C338=7),Weekend_As_Holiday="NO",COUNTIF(Holidays!$A$6:$A$58,'Cycle Calendar'!$D338)&gt;0),"W",IF(OR($C338=6,$C338=7),"W",IF(COUNTIF(Holidays!$A$6:$A$58,'Cycle Calendar'!$D338)&gt;0,"H","R"))))</f>
        <v>W</v>
      </c>
      <c r="F338" s="20" t="str">
        <f t="shared" si="29"/>
        <v>W7</v>
      </c>
    </row>
    <row r="339" spans="1:6" x14ac:dyDescent="0.2">
      <c r="A339" s="20">
        <v>12</v>
      </c>
      <c r="B339" s="20">
        <f t="shared" si="30"/>
        <v>1</v>
      </c>
      <c r="C339" s="20">
        <f t="shared" si="32"/>
        <v>1</v>
      </c>
      <c r="D339" s="21">
        <f t="shared" si="31"/>
        <v>46356</v>
      </c>
      <c r="E339" s="22" t="str">
        <f>IF(AND(OR($C339=6,$C339=7),Weekend_As_Holiday="YES",COUNTIF(Holidays!$A$6:$A$58,'Cycle Calendar'!$D339)&gt;0),"H",IF(AND(OR($C339=6,$C339=7),Weekend_As_Holiday="NO",COUNTIF(Holidays!$A$6:$A$58,'Cycle Calendar'!$D339)&gt;0),"W",IF(OR($C339=6,$C339=7),"W",IF(COUNTIF(Holidays!$A$6:$A$58,'Cycle Calendar'!$D339)&gt;0,"H","R"))))</f>
        <v>H</v>
      </c>
      <c r="F339" s="20" t="str">
        <f t="shared" si="29"/>
        <v>H1</v>
      </c>
    </row>
    <row r="340" spans="1:6" x14ac:dyDescent="0.2">
      <c r="A340" s="20">
        <f t="shared" si="28"/>
        <v>12</v>
      </c>
      <c r="B340" s="20">
        <f t="shared" si="30"/>
        <v>2</v>
      </c>
      <c r="C340" s="20">
        <f t="shared" si="32"/>
        <v>2</v>
      </c>
      <c r="D340" s="21">
        <f t="shared" si="31"/>
        <v>46357</v>
      </c>
      <c r="E340" s="22" t="str">
        <f>IF(AND(OR($C340=6,$C340=7),Weekend_As_Holiday="YES",COUNTIF(Holidays!$A$6:$A$58,'Cycle Calendar'!$D340)&gt;0),"H",IF(AND(OR($C340=6,$C340=7),Weekend_As_Holiday="NO",COUNTIF(Holidays!$A$6:$A$58,'Cycle Calendar'!$D340)&gt;0),"W",IF(OR($C340=6,$C340=7),"W",IF(COUNTIF(Holidays!$A$6:$A$58,'Cycle Calendar'!$D340)&gt;0,"H","R"))))</f>
        <v>R</v>
      </c>
      <c r="F340" s="20" t="str">
        <f t="shared" si="29"/>
        <v>R2</v>
      </c>
    </row>
    <row r="341" spans="1:6" x14ac:dyDescent="0.2">
      <c r="A341" s="20">
        <f t="shared" si="28"/>
        <v>12</v>
      </c>
      <c r="B341" s="20">
        <f t="shared" si="30"/>
        <v>3</v>
      </c>
      <c r="C341" s="20">
        <f t="shared" si="32"/>
        <v>3</v>
      </c>
      <c r="D341" s="21">
        <f t="shared" si="31"/>
        <v>46358</v>
      </c>
      <c r="E341" s="22" t="str">
        <f>IF(AND(OR($C341=6,$C341=7),Weekend_As_Holiday="YES",COUNTIF(Holidays!$A$6:$A$58,'Cycle Calendar'!$D341)&gt;0),"H",IF(AND(OR($C341=6,$C341=7),Weekend_As_Holiday="NO",COUNTIF(Holidays!$A$6:$A$58,'Cycle Calendar'!$D341)&gt;0),"W",IF(OR($C341=6,$C341=7),"W",IF(COUNTIF(Holidays!$A$6:$A$58,'Cycle Calendar'!$D341)&gt;0,"H","R"))))</f>
        <v>R</v>
      </c>
      <c r="F341" s="20" t="str">
        <f t="shared" si="29"/>
        <v>R3</v>
      </c>
    </row>
    <row r="342" spans="1:6" x14ac:dyDescent="0.2">
      <c r="A342" s="20">
        <f t="shared" si="28"/>
        <v>12</v>
      </c>
      <c r="B342" s="20">
        <f t="shared" si="30"/>
        <v>4</v>
      </c>
      <c r="C342" s="20">
        <f t="shared" si="32"/>
        <v>4</v>
      </c>
      <c r="D342" s="21">
        <f t="shared" si="31"/>
        <v>46359</v>
      </c>
      <c r="E342" s="22" t="str">
        <f>IF(AND(OR($C342=6,$C342=7),Weekend_As_Holiday="YES",COUNTIF(Holidays!$A$6:$A$58,'Cycle Calendar'!$D342)&gt;0),"H",IF(AND(OR($C342=6,$C342=7),Weekend_As_Holiday="NO",COUNTIF(Holidays!$A$6:$A$58,'Cycle Calendar'!$D342)&gt;0),"W",IF(OR($C342=6,$C342=7),"W",IF(COUNTIF(Holidays!$A$6:$A$58,'Cycle Calendar'!$D342)&gt;0,"H","R"))))</f>
        <v>R</v>
      </c>
      <c r="F342" s="20" t="str">
        <f t="shared" si="29"/>
        <v>R4</v>
      </c>
    </row>
    <row r="343" spans="1:6" x14ac:dyDescent="0.2">
      <c r="A343" s="20">
        <f t="shared" si="28"/>
        <v>12</v>
      </c>
      <c r="B343" s="20">
        <f t="shared" si="30"/>
        <v>5</v>
      </c>
      <c r="C343" s="20">
        <f t="shared" si="32"/>
        <v>5</v>
      </c>
      <c r="D343" s="21">
        <f t="shared" si="31"/>
        <v>46360</v>
      </c>
      <c r="E343" s="22" t="str">
        <f>IF(AND(OR($C343=6,$C343=7),Weekend_As_Holiday="YES",COUNTIF(Holidays!$A$6:$A$58,'Cycle Calendar'!$D343)&gt;0),"H",IF(AND(OR($C343=6,$C343=7),Weekend_As_Holiday="NO",COUNTIF(Holidays!$A$6:$A$58,'Cycle Calendar'!$D343)&gt;0),"W",IF(OR($C343=6,$C343=7),"W",IF(COUNTIF(Holidays!$A$6:$A$58,'Cycle Calendar'!$D343)&gt;0,"H","R"))))</f>
        <v>R</v>
      </c>
      <c r="F343" s="20" t="str">
        <f t="shared" si="29"/>
        <v>R5</v>
      </c>
    </row>
    <row r="344" spans="1:6" x14ac:dyDescent="0.2">
      <c r="A344" s="20">
        <f t="shared" si="28"/>
        <v>12</v>
      </c>
      <c r="B344" s="20">
        <f t="shared" si="30"/>
        <v>6</v>
      </c>
      <c r="C344" s="20">
        <f t="shared" si="32"/>
        <v>6</v>
      </c>
      <c r="D344" s="21">
        <f t="shared" si="31"/>
        <v>46361</v>
      </c>
      <c r="E344" s="22" t="str">
        <f>IF(AND(OR($C344=6,$C344=7),Weekend_As_Holiday="YES",COUNTIF(Holidays!$A$6:$A$58,'Cycle Calendar'!$D344)&gt;0),"H",IF(AND(OR($C344=6,$C344=7),Weekend_As_Holiday="NO",COUNTIF(Holidays!$A$6:$A$58,'Cycle Calendar'!$D344)&gt;0),"W",IF(OR($C344=6,$C344=7),"W",IF(COUNTIF(Holidays!$A$6:$A$58,'Cycle Calendar'!$D344)&gt;0,"H","R"))))</f>
        <v>W</v>
      </c>
      <c r="F344" s="20" t="str">
        <f t="shared" si="29"/>
        <v>W6</v>
      </c>
    </row>
    <row r="345" spans="1:6" x14ac:dyDescent="0.2">
      <c r="A345" s="20">
        <f t="shared" si="28"/>
        <v>12</v>
      </c>
      <c r="B345" s="20">
        <f t="shared" si="30"/>
        <v>7</v>
      </c>
      <c r="C345" s="20">
        <f t="shared" si="32"/>
        <v>7</v>
      </c>
      <c r="D345" s="21">
        <f t="shared" si="31"/>
        <v>46362</v>
      </c>
      <c r="E345" s="22" t="str">
        <f>IF(AND(OR($C345=6,$C345=7),Weekend_As_Holiday="YES",COUNTIF(Holidays!$A$6:$A$58,'Cycle Calendar'!$D345)&gt;0),"H",IF(AND(OR($C345=6,$C345=7),Weekend_As_Holiday="NO",COUNTIF(Holidays!$A$6:$A$58,'Cycle Calendar'!$D345)&gt;0),"W",IF(OR($C345=6,$C345=7),"W",IF(COUNTIF(Holidays!$A$6:$A$58,'Cycle Calendar'!$D345)&gt;0,"H","R"))))</f>
        <v>W</v>
      </c>
      <c r="F345" s="20" t="str">
        <f t="shared" si="29"/>
        <v>W7</v>
      </c>
    </row>
    <row r="346" spans="1:6" x14ac:dyDescent="0.2">
      <c r="A346" s="20">
        <f t="shared" si="28"/>
        <v>12</v>
      </c>
      <c r="B346" s="20">
        <f t="shared" si="30"/>
        <v>8</v>
      </c>
      <c r="C346" s="20">
        <f t="shared" si="32"/>
        <v>1</v>
      </c>
      <c r="D346" s="21">
        <f t="shared" si="31"/>
        <v>46363</v>
      </c>
      <c r="E346" s="22" t="str">
        <f>IF(AND(OR($C346=6,$C346=7),Weekend_As_Holiday="YES",COUNTIF(Holidays!$A$6:$A$58,'Cycle Calendar'!$D346)&gt;0),"H",IF(AND(OR($C346=6,$C346=7),Weekend_As_Holiday="NO",COUNTIF(Holidays!$A$6:$A$58,'Cycle Calendar'!$D346)&gt;0),"W",IF(OR($C346=6,$C346=7),"W",IF(COUNTIF(Holidays!$A$6:$A$58,'Cycle Calendar'!$D346)&gt;0,"H","R"))))</f>
        <v>R</v>
      </c>
      <c r="F346" s="20" t="str">
        <f t="shared" si="29"/>
        <v>R1</v>
      </c>
    </row>
    <row r="347" spans="1:6" x14ac:dyDescent="0.2">
      <c r="A347" s="20">
        <f t="shared" si="28"/>
        <v>12</v>
      </c>
      <c r="B347" s="20">
        <f t="shared" si="30"/>
        <v>9</v>
      </c>
      <c r="C347" s="20">
        <f t="shared" si="32"/>
        <v>2</v>
      </c>
      <c r="D347" s="21">
        <f t="shared" si="31"/>
        <v>46364</v>
      </c>
      <c r="E347" s="22" t="str">
        <f>IF(AND(OR($C347=6,$C347=7),Weekend_As_Holiday="YES",COUNTIF(Holidays!$A$6:$A$58,'Cycle Calendar'!$D347)&gt;0),"H",IF(AND(OR($C347=6,$C347=7),Weekend_As_Holiday="NO",COUNTIF(Holidays!$A$6:$A$58,'Cycle Calendar'!$D347)&gt;0),"W",IF(OR($C347=6,$C347=7),"W",IF(COUNTIF(Holidays!$A$6:$A$58,'Cycle Calendar'!$D347)&gt;0,"H","R"))))</f>
        <v>R</v>
      </c>
      <c r="F347" s="20" t="str">
        <f t="shared" si="29"/>
        <v>R2</v>
      </c>
    </row>
    <row r="348" spans="1:6" x14ac:dyDescent="0.2">
      <c r="A348" s="20">
        <f t="shared" si="28"/>
        <v>12</v>
      </c>
      <c r="B348" s="20">
        <f t="shared" si="30"/>
        <v>10</v>
      </c>
      <c r="C348" s="20">
        <f t="shared" si="32"/>
        <v>3</v>
      </c>
      <c r="D348" s="21">
        <f t="shared" si="31"/>
        <v>46365</v>
      </c>
      <c r="E348" s="22" t="str">
        <f>IF(AND(OR($C348=6,$C348=7),Weekend_As_Holiday="YES",COUNTIF(Holidays!$A$6:$A$58,'Cycle Calendar'!$D348)&gt;0),"H",IF(AND(OR($C348=6,$C348=7),Weekend_As_Holiday="NO",COUNTIF(Holidays!$A$6:$A$58,'Cycle Calendar'!$D348)&gt;0),"W",IF(OR($C348=6,$C348=7),"W",IF(COUNTIF(Holidays!$A$6:$A$58,'Cycle Calendar'!$D348)&gt;0,"H","R"))))</f>
        <v>R</v>
      </c>
      <c r="F348" s="20" t="str">
        <f t="shared" si="29"/>
        <v>R3</v>
      </c>
    </row>
    <row r="349" spans="1:6" x14ac:dyDescent="0.2">
      <c r="A349" s="20">
        <f t="shared" si="28"/>
        <v>12</v>
      </c>
      <c r="B349" s="20">
        <f t="shared" si="30"/>
        <v>11</v>
      </c>
      <c r="C349" s="20">
        <f t="shared" si="32"/>
        <v>4</v>
      </c>
      <c r="D349" s="21">
        <f t="shared" si="31"/>
        <v>46366</v>
      </c>
      <c r="E349" s="22" t="str">
        <f>IF(AND(OR($C349=6,$C349=7),Weekend_As_Holiday="YES",COUNTIF(Holidays!$A$6:$A$58,'Cycle Calendar'!$D349)&gt;0),"H",IF(AND(OR($C349=6,$C349=7),Weekend_As_Holiday="NO",COUNTIF(Holidays!$A$6:$A$58,'Cycle Calendar'!$D349)&gt;0),"W",IF(OR($C349=6,$C349=7),"W",IF(COUNTIF(Holidays!$A$6:$A$58,'Cycle Calendar'!$D349)&gt;0,"H","R"))))</f>
        <v>R</v>
      </c>
      <c r="F349" s="20" t="str">
        <f t="shared" si="29"/>
        <v>R4</v>
      </c>
    </row>
    <row r="350" spans="1:6" x14ac:dyDescent="0.2">
      <c r="A350" s="20">
        <f t="shared" si="28"/>
        <v>12</v>
      </c>
      <c r="B350" s="20">
        <f t="shared" si="30"/>
        <v>12</v>
      </c>
      <c r="C350" s="20">
        <f t="shared" si="32"/>
        <v>5</v>
      </c>
      <c r="D350" s="21">
        <f t="shared" si="31"/>
        <v>46367</v>
      </c>
      <c r="E350" s="22" t="str">
        <f>IF(AND(OR($C350=6,$C350=7),Weekend_As_Holiday="YES",COUNTIF(Holidays!$A$6:$A$58,'Cycle Calendar'!$D350)&gt;0),"H",IF(AND(OR($C350=6,$C350=7),Weekend_As_Holiday="NO",COUNTIF(Holidays!$A$6:$A$58,'Cycle Calendar'!$D350)&gt;0),"W",IF(OR($C350=6,$C350=7),"W",IF(COUNTIF(Holidays!$A$6:$A$58,'Cycle Calendar'!$D350)&gt;0,"H","R"))))</f>
        <v>R</v>
      </c>
      <c r="F350" s="20" t="str">
        <f t="shared" si="29"/>
        <v>R5</v>
      </c>
    </row>
    <row r="351" spans="1:6" x14ac:dyDescent="0.2">
      <c r="A351" s="20">
        <f t="shared" si="28"/>
        <v>12</v>
      </c>
      <c r="B351" s="20">
        <f t="shared" si="30"/>
        <v>13</v>
      </c>
      <c r="C351" s="20">
        <f t="shared" si="32"/>
        <v>6</v>
      </c>
      <c r="D351" s="21">
        <f t="shared" si="31"/>
        <v>46368</v>
      </c>
      <c r="E351" s="22" t="str">
        <f>IF(AND(OR($C351=6,$C351=7),Weekend_As_Holiday="YES",COUNTIF(Holidays!$A$6:$A$58,'Cycle Calendar'!$D351)&gt;0),"H",IF(AND(OR($C351=6,$C351=7),Weekend_As_Holiday="NO",COUNTIF(Holidays!$A$6:$A$58,'Cycle Calendar'!$D351)&gt;0),"W",IF(OR($C351=6,$C351=7),"W",IF(COUNTIF(Holidays!$A$6:$A$58,'Cycle Calendar'!$D351)&gt;0,"H","R"))))</f>
        <v>W</v>
      </c>
      <c r="F351" s="20" t="str">
        <f t="shared" si="29"/>
        <v>W6</v>
      </c>
    </row>
    <row r="352" spans="1:6" x14ac:dyDescent="0.2">
      <c r="A352" s="20">
        <f t="shared" si="28"/>
        <v>12</v>
      </c>
      <c r="B352" s="20">
        <f t="shared" si="30"/>
        <v>14</v>
      </c>
      <c r="C352" s="20">
        <f t="shared" si="32"/>
        <v>7</v>
      </c>
      <c r="D352" s="21">
        <f t="shared" si="31"/>
        <v>46369</v>
      </c>
      <c r="E352" s="22" t="str">
        <f>IF(AND(OR($C352=6,$C352=7),Weekend_As_Holiday="YES",COUNTIF(Holidays!$A$6:$A$58,'Cycle Calendar'!$D352)&gt;0),"H",IF(AND(OR($C352=6,$C352=7),Weekend_As_Holiday="NO",COUNTIF(Holidays!$A$6:$A$58,'Cycle Calendar'!$D352)&gt;0),"W",IF(OR($C352=6,$C352=7),"W",IF(COUNTIF(Holidays!$A$6:$A$58,'Cycle Calendar'!$D352)&gt;0,"H","R"))))</f>
        <v>W</v>
      </c>
      <c r="F352" s="20" t="str">
        <f t="shared" si="29"/>
        <v>W7</v>
      </c>
    </row>
    <row r="353" spans="1:6" x14ac:dyDescent="0.2">
      <c r="A353" s="20">
        <f t="shared" si="28"/>
        <v>12</v>
      </c>
      <c r="B353" s="20">
        <f t="shared" si="30"/>
        <v>15</v>
      </c>
      <c r="C353" s="20">
        <f t="shared" si="32"/>
        <v>1</v>
      </c>
      <c r="D353" s="21">
        <f t="shared" si="31"/>
        <v>46370</v>
      </c>
      <c r="E353" s="22" t="str">
        <f>IF(AND(OR($C353=6,$C353=7),Weekend_As_Holiday="YES",COUNTIF(Holidays!$A$6:$A$58,'Cycle Calendar'!$D353)&gt;0),"H",IF(AND(OR($C353=6,$C353=7),Weekend_As_Holiday="NO",COUNTIF(Holidays!$A$6:$A$58,'Cycle Calendar'!$D353)&gt;0),"W",IF(OR($C353=6,$C353=7),"W",IF(COUNTIF(Holidays!$A$6:$A$58,'Cycle Calendar'!$D353)&gt;0,"H","R"))))</f>
        <v>R</v>
      </c>
      <c r="F353" s="20" t="str">
        <f t="shared" si="29"/>
        <v>R1</v>
      </c>
    </row>
    <row r="354" spans="1:6" x14ac:dyDescent="0.2">
      <c r="A354" s="20">
        <f t="shared" si="28"/>
        <v>12</v>
      </c>
      <c r="B354" s="20">
        <f t="shared" si="30"/>
        <v>16</v>
      </c>
      <c r="C354" s="20">
        <f t="shared" si="32"/>
        <v>2</v>
      </c>
      <c r="D354" s="21">
        <f t="shared" si="31"/>
        <v>46371</v>
      </c>
      <c r="E354" s="22" t="str">
        <f>IF(AND(OR($C354=6,$C354=7),Weekend_As_Holiday="YES",COUNTIF(Holidays!$A$6:$A$58,'Cycle Calendar'!$D354)&gt;0),"H",IF(AND(OR($C354=6,$C354=7),Weekend_As_Holiday="NO",COUNTIF(Holidays!$A$6:$A$58,'Cycle Calendar'!$D354)&gt;0),"W",IF(OR($C354=6,$C354=7),"W",IF(COUNTIF(Holidays!$A$6:$A$58,'Cycle Calendar'!$D354)&gt;0,"H","R"))))</f>
        <v>R</v>
      </c>
      <c r="F354" s="20" t="str">
        <f t="shared" si="29"/>
        <v>R2</v>
      </c>
    </row>
    <row r="355" spans="1:6" x14ac:dyDescent="0.2">
      <c r="A355" s="20">
        <f t="shared" si="28"/>
        <v>12</v>
      </c>
      <c r="B355" s="20">
        <f t="shared" si="30"/>
        <v>17</v>
      </c>
      <c r="C355" s="20">
        <f t="shared" si="32"/>
        <v>3</v>
      </c>
      <c r="D355" s="21">
        <f t="shared" si="31"/>
        <v>46372</v>
      </c>
      <c r="E355" s="22" t="str">
        <f>IF(AND(OR($C355=6,$C355=7),Weekend_As_Holiday="YES",COUNTIF(Holidays!$A$6:$A$58,'Cycle Calendar'!$D355)&gt;0),"H",IF(AND(OR($C355=6,$C355=7),Weekend_As_Holiday="NO",COUNTIF(Holidays!$A$6:$A$58,'Cycle Calendar'!$D355)&gt;0),"W",IF(OR($C355=6,$C355=7),"W",IF(COUNTIF(Holidays!$A$6:$A$58,'Cycle Calendar'!$D355)&gt;0,"H","R"))))</f>
        <v>R</v>
      </c>
      <c r="F355" s="20" t="str">
        <f t="shared" si="29"/>
        <v>R3</v>
      </c>
    </row>
    <row r="356" spans="1:6" x14ac:dyDescent="0.2">
      <c r="A356" s="20">
        <f t="shared" si="28"/>
        <v>12</v>
      </c>
      <c r="B356" s="20">
        <f t="shared" si="30"/>
        <v>18</v>
      </c>
      <c r="C356" s="20">
        <f t="shared" si="32"/>
        <v>4</v>
      </c>
      <c r="D356" s="21">
        <f t="shared" si="31"/>
        <v>46373</v>
      </c>
      <c r="E356" s="22" t="str">
        <f>IF(AND(OR($C356=6,$C356=7),Weekend_As_Holiday="YES",COUNTIF(Holidays!$A$6:$A$58,'Cycle Calendar'!$D356)&gt;0),"H",IF(AND(OR($C356=6,$C356=7),Weekend_As_Holiday="NO",COUNTIF(Holidays!$A$6:$A$58,'Cycle Calendar'!$D356)&gt;0),"W",IF(OR($C356=6,$C356=7),"W",IF(COUNTIF(Holidays!$A$6:$A$58,'Cycle Calendar'!$D356)&gt;0,"H","R"))))</f>
        <v>R</v>
      </c>
      <c r="F356" s="20" t="str">
        <f t="shared" si="29"/>
        <v>R4</v>
      </c>
    </row>
    <row r="357" spans="1:6" x14ac:dyDescent="0.2">
      <c r="A357" s="20">
        <f t="shared" si="28"/>
        <v>12</v>
      </c>
      <c r="B357" s="20">
        <f t="shared" si="30"/>
        <v>19</v>
      </c>
      <c r="C357" s="20">
        <f t="shared" si="32"/>
        <v>5</v>
      </c>
      <c r="D357" s="21">
        <f t="shared" si="31"/>
        <v>46374</v>
      </c>
      <c r="E357" s="22" t="str">
        <f>IF(AND(OR($C357=6,$C357=7),Weekend_As_Holiday="YES",COUNTIF(Holidays!$A$6:$A$58,'Cycle Calendar'!$D357)&gt;0),"H",IF(AND(OR($C357=6,$C357=7),Weekend_As_Holiday="NO",COUNTIF(Holidays!$A$6:$A$58,'Cycle Calendar'!$D357)&gt;0),"W",IF(OR($C357=6,$C357=7),"W",IF(COUNTIF(Holidays!$A$6:$A$58,'Cycle Calendar'!$D357)&gt;0,"H","R"))))</f>
        <v>R</v>
      </c>
      <c r="F357" s="20" t="str">
        <f t="shared" si="29"/>
        <v>R5</v>
      </c>
    </row>
    <row r="358" spans="1:6" x14ac:dyDescent="0.2">
      <c r="A358" s="20">
        <f t="shared" si="28"/>
        <v>12</v>
      </c>
      <c r="B358" s="20">
        <f t="shared" si="30"/>
        <v>20</v>
      </c>
      <c r="C358" s="20">
        <f t="shared" si="32"/>
        <v>6</v>
      </c>
      <c r="D358" s="21">
        <f t="shared" si="31"/>
        <v>46375</v>
      </c>
      <c r="E358" s="22" t="str">
        <f>IF(AND(OR($C358=6,$C358=7),Weekend_As_Holiday="YES",COUNTIF(Holidays!$A$6:$A$58,'Cycle Calendar'!$D358)&gt;0),"H",IF(AND(OR($C358=6,$C358=7),Weekend_As_Holiday="NO",COUNTIF(Holidays!$A$6:$A$58,'Cycle Calendar'!$D358)&gt;0),"W",IF(OR($C358=6,$C358=7),"W",IF(COUNTIF(Holidays!$A$6:$A$58,'Cycle Calendar'!$D358)&gt;0,"H","R"))))</f>
        <v>W</v>
      </c>
      <c r="F358" s="20" t="str">
        <f t="shared" si="29"/>
        <v>W6</v>
      </c>
    </row>
    <row r="359" spans="1:6" x14ac:dyDescent="0.2">
      <c r="A359" s="20">
        <f t="shared" si="28"/>
        <v>12</v>
      </c>
      <c r="B359" s="20">
        <f t="shared" si="30"/>
        <v>21</v>
      </c>
      <c r="C359" s="20">
        <f t="shared" si="32"/>
        <v>7</v>
      </c>
      <c r="D359" s="21">
        <f t="shared" si="31"/>
        <v>46376</v>
      </c>
      <c r="E359" s="22" t="str">
        <f>IF(AND(OR($C359=6,$C359=7),Weekend_As_Holiday="YES",COUNTIF(Holidays!$A$6:$A$58,'Cycle Calendar'!$D359)&gt;0),"H",IF(AND(OR($C359=6,$C359=7),Weekend_As_Holiday="NO",COUNTIF(Holidays!$A$6:$A$58,'Cycle Calendar'!$D359)&gt;0),"W",IF(OR($C359=6,$C359=7),"W",IF(COUNTIF(Holidays!$A$6:$A$58,'Cycle Calendar'!$D359)&gt;0,"H","R"))))</f>
        <v>W</v>
      </c>
      <c r="F359" s="20" t="str">
        <f t="shared" si="29"/>
        <v>W7</v>
      </c>
    </row>
    <row r="360" spans="1:6" x14ac:dyDescent="0.2">
      <c r="A360" s="20">
        <f t="shared" si="28"/>
        <v>12</v>
      </c>
      <c r="B360" s="20">
        <f t="shared" si="30"/>
        <v>22</v>
      </c>
      <c r="C360" s="20">
        <f t="shared" si="32"/>
        <v>1</v>
      </c>
      <c r="D360" s="21">
        <f t="shared" si="31"/>
        <v>46377</v>
      </c>
      <c r="E360" s="22" t="str">
        <f>IF(AND(OR($C360=6,$C360=7),Weekend_As_Holiday="YES",COUNTIF(Holidays!$A$6:$A$58,'Cycle Calendar'!$D360)&gt;0),"H",IF(AND(OR($C360=6,$C360=7),Weekend_As_Holiday="NO",COUNTIF(Holidays!$A$6:$A$58,'Cycle Calendar'!$D360)&gt;0),"W",IF(OR($C360=6,$C360=7),"W",IF(COUNTIF(Holidays!$A$6:$A$58,'Cycle Calendar'!$D360)&gt;0,"H","R"))))</f>
        <v>H</v>
      </c>
      <c r="F360" s="20" t="str">
        <f t="shared" si="29"/>
        <v>H1</v>
      </c>
    </row>
    <row r="361" spans="1:6" x14ac:dyDescent="0.2">
      <c r="A361" s="20">
        <f t="shared" si="28"/>
        <v>12</v>
      </c>
      <c r="B361" s="20">
        <f t="shared" si="30"/>
        <v>23</v>
      </c>
      <c r="C361" s="20">
        <f t="shared" si="32"/>
        <v>2</v>
      </c>
      <c r="D361" s="21">
        <f t="shared" si="31"/>
        <v>46378</v>
      </c>
      <c r="E361" s="22" t="str">
        <f>IF(AND(OR($C361=6,$C361=7),Weekend_As_Holiday="YES",COUNTIF(Holidays!$A$6:$A$58,'Cycle Calendar'!$D361)&gt;0),"H",IF(AND(OR($C361=6,$C361=7),Weekend_As_Holiday="NO",COUNTIF(Holidays!$A$6:$A$58,'Cycle Calendar'!$D361)&gt;0),"W",IF(OR($C361=6,$C361=7),"W",IF(COUNTIF(Holidays!$A$6:$A$58,'Cycle Calendar'!$D361)&gt;0,"H","R"))))</f>
        <v>H</v>
      </c>
      <c r="F361" s="20" t="str">
        <f t="shared" si="29"/>
        <v>H2</v>
      </c>
    </row>
    <row r="362" spans="1:6" x14ac:dyDescent="0.2">
      <c r="A362" s="20">
        <f t="shared" si="28"/>
        <v>12</v>
      </c>
      <c r="B362" s="20">
        <f t="shared" si="30"/>
        <v>24</v>
      </c>
      <c r="C362" s="20">
        <f t="shared" si="32"/>
        <v>3</v>
      </c>
      <c r="D362" s="21">
        <f t="shared" si="31"/>
        <v>46379</v>
      </c>
      <c r="E362" s="22" t="str">
        <f>IF(AND(OR($C362=6,$C362=7),Weekend_As_Holiday="YES",COUNTIF(Holidays!$A$6:$A$58,'Cycle Calendar'!$D362)&gt;0),"H",IF(AND(OR($C362=6,$C362=7),Weekend_As_Holiday="NO",COUNTIF(Holidays!$A$6:$A$58,'Cycle Calendar'!$D362)&gt;0),"W",IF(OR($C362=6,$C362=7),"W",IF(COUNTIF(Holidays!$A$6:$A$58,'Cycle Calendar'!$D362)&gt;0,"H","R"))))</f>
        <v>H</v>
      </c>
      <c r="F362" s="20" t="str">
        <f t="shared" si="29"/>
        <v>H3</v>
      </c>
    </row>
    <row r="363" spans="1:6" x14ac:dyDescent="0.2">
      <c r="A363" s="20">
        <f t="shared" si="28"/>
        <v>12</v>
      </c>
      <c r="B363" s="20">
        <f t="shared" si="30"/>
        <v>25</v>
      </c>
      <c r="C363" s="20">
        <f t="shared" si="32"/>
        <v>4</v>
      </c>
      <c r="D363" s="21">
        <f t="shared" si="31"/>
        <v>46380</v>
      </c>
      <c r="E363" s="22" t="str">
        <f>IF(AND(OR($C363=6,$C363=7),Weekend_As_Holiday="YES",COUNTIF(Holidays!$A$6:$A$58,'Cycle Calendar'!$D363)&gt;0),"H",IF(AND(OR($C363=6,$C363=7),Weekend_As_Holiday="NO",COUNTIF(Holidays!$A$6:$A$58,'Cycle Calendar'!$D363)&gt;0),"W",IF(OR($C363=6,$C363=7),"W",IF(COUNTIF(Holidays!$A$6:$A$58,'Cycle Calendar'!$D363)&gt;0,"H","R"))))</f>
        <v>H</v>
      </c>
      <c r="F363" s="20" t="str">
        <f t="shared" si="29"/>
        <v>H4</v>
      </c>
    </row>
    <row r="364" spans="1:6" x14ac:dyDescent="0.2">
      <c r="A364" s="20">
        <f t="shared" si="28"/>
        <v>12</v>
      </c>
      <c r="B364" s="20">
        <f t="shared" si="30"/>
        <v>26</v>
      </c>
      <c r="C364" s="20">
        <f t="shared" si="32"/>
        <v>5</v>
      </c>
      <c r="D364" s="21">
        <f t="shared" si="31"/>
        <v>46381</v>
      </c>
      <c r="E364" s="22" t="str">
        <f>IF(AND(OR($C364=6,$C364=7),Weekend_As_Holiday="YES",COUNTIF(Holidays!$A$6:$A$58,'Cycle Calendar'!$D364)&gt;0),"H",IF(AND(OR($C364=6,$C364=7),Weekend_As_Holiday="NO",COUNTIF(Holidays!$A$6:$A$58,'Cycle Calendar'!$D364)&gt;0),"W",IF(OR($C364=6,$C364=7),"W",IF(COUNTIF(Holidays!$A$6:$A$58,'Cycle Calendar'!$D364)&gt;0,"H","R"))))</f>
        <v>H</v>
      </c>
      <c r="F364" s="20" t="str">
        <f t="shared" si="29"/>
        <v>H5</v>
      </c>
    </row>
    <row r="365" spans="1:6" x14ac:dyDescent="0.2">
      <c r="A365" s="20">
        <f t="shared" si="28"/>
        <v>12</v>
      </c>
      <c r="B365" s="20">
        <f t="shared" si="30"/>
        <v>27</v>
      </c>
      <c r="C365" s="20">
        <f t="shared" si="32"/>
        <v>6</v>
      </c>
      <c r="D365" s="21">
        <f t="shared" si="31"/>
        <v>46382</v>
      </c>
      <c r="E365" s="22" t="str">
        <f>IF(AND(OR($C365=6,$C365=7),Weekend_As_Holiday="YES",COUNTIF(Holidays!$A$6:$A$58,'Cycle Calendar'!$D365)&gt;0),"H",IF(AND(OR($C365=6,$C365=7),Weekend_As_Holiday="NO",COUNTIF(Holidays!$A$6:$A$58,'Cycle Calendar'!$D365)&gt;0),"W",IF(OR($C365=6,$C365=7),"W",IF(COUNTIF(Holidays!$A$6:$A$58,'Cycle Calendar'!$D365)&gt;0,"H","R"))))</f>
        <v>W</v>
      </c>
      <c r="F365" s="20" t="str">
        <f t="shared" si="29"/>
        <v>W6</v>
      </c>
    </row>
    <row r="366" spans="1:6" x14ac:dyDescent="0.2">
      <c r="A366" s="20">
        <f t="shared" si="28"/>
        <v>12</v>
      </c>
      <c r="B366" s="20">
        <f t="shared" si="30"/>
        <v>28</v>
      </c>
      <c r="C366" s="20">
        <f t="shared" si="32"/>
        <v>7</v>
      </c>
      <c r="D366" s="21">
        <f t="shared" si="31"/>
        <v>46383</v>
      </c>
      <c r="E366" s="22" t="str">
        <f>IF(AND(OR($C366=6,$C366=7),Weekend_As_Holiday="YES",COUNTIF(Holidays!$A$6:$A$58,'Cycle Calendar'!$D366)&gt;0),"H",IF(AND(OR($C366=6,$C366=7),Weekend_As_Holiday="NO",COUNTIF(Holidays!$A$6:$A$58,'Cycle Calendar'!$D366)&gt;0),"W",IF(OR($C366=6,$C366=7),"W",IF(COUNTIF(Holidays!$A$6:$A$58,'Cycle Calendar'!$D366)&gt;0,"H","R"))))</f>
        <v>W</v>
      </c>
      <c r="F366" s="20" t="str">
        <f t="shared" si="29"/>
        <v>W7</v>
      </c>
    </row>
    <row r="367" spans="1:6" x14ac:dyDescent="0.2">
      <c r="A367" s="20">
        <f t="shared" si="28"/>
        <v>12</v>
      </c>
      <c r="B367" s="20">
        <f t="shared" si="30"/>
        <v>29</v>
      </c>
      <c r="C367" s="20">
        <f t="shared" si="32"/>
        <v>1</v>
      </c>
      <c r="D367" s="21">
        <f t="shared" si="31"/>
        <v>46384</v>
      </c>
      <c r="E367" s="22" t="str">
        <f>IF(AND(OR($C367=6,$C367=7),Weekend_As_Holiday="YES",COUNTIF(Holidays!$A$6:$A$58,'Cycle Calendar'!$D367)&gt;0),"H",IF(AND(OR($C367=6,$C367=7),Weekend_As_Holiday="NO",COUNTIF(Holidays!$A$6:$A$58,'Cycle Calendar'!$D367)&gt;0),"W",IF(OR($C367=6,$C367=7),"W",IF(COUNTIF(Holidays!$A$6:$A$58,'Cycle Calendar'!$D367)&gt;0,"H","R"))))</f>
        <v>H</v>
      </c>
      <c r="F367" s="20" t="str">
        <f t="shared" si="29"/>
        <v>H1</v>
      </c>
    </row>
    <row r="368" spans="1:6" x14ac:dyDescent="0.2">
      <c r="A368" s="20">
        <f t="shared" si="28"/>
        <v>12</v>
      </c>
      <c r="B368" s="20">
        <f t="shared" si="30"/>
        <v>30</v>
      </c>
      <c r="C368" s="20">
        <f t="shared" si="32"/>
        <v>2</v>
      </c>
      <c r="D368" s="21">
        <f t="shared" si="31"/>
        <v>46385</v>
      </c>
      <c r="E368" s="22" t="str">
        <f>IF(AND(OR($C368=6,$C368=7),Weekend_As_Holiday="YES",COUNTIF(Holidays!$A$6:$A$58,'Cycle Calendar'!$D368)&gt;0),"H",IF(AND(OR($C368=6,$C368=7),Weekend_As_Holiday="NO",COUNTIF(Holidays!$A$6:$A$58,'Cycle Calendar'!$D368)&gt;0),"W",IF(OR($C368=6,$C368=7),"W",IF(COUNTIF(Holidays!$A$6:$A$58,'Cycle Calendar'!$D368)&gt;0,"H","R"))))</f>
        <v>H</v>
      </c>
      <c r="F368" s="20" t="str">
        <f t="shared" si="29"/>
        <v>H2</v>
      </c>
    </row>
    <row r="369" spans="1:6" x14ac:dyDescent="0.2">
      <c r="A369" s="20">
        <f t="shared" si="28"/>
        <v>12</v>
      </c>
      <c r="B369" s="20">
        <f t="shared" si="30"/>
        <v>31</v>
      </c>
      <c r="C369" s="20">
        <f t="shared" si="32"/>
        <v>3</v>
      </c>
      <c r="D369" s="21">
        <f t="shared" si="31"/>
        <v>46386</v>
      </c>
      <c r="E369" s="22" t="str">
        <f>IF(AND(OR($C369=6,$C369=7),Weekend_As_Holiday="YES",COUNTIF(Holidays!$A$6:$A$58,'Cycle Calendar'!$D369)&gt;0),"H",IF(AND(OR($C369=6,$C369=7),Weekend_As_Holiday="NO",COUNTIF(Holidays!$A$6:$A$58,'Cycle Calendar'!$D369)&gt;0),"W",IF(OR($C369=6,$C369=7),"W",IF(COUNTIF(Holidays!$A$6:$A$58,'Cycle Calendar'!$D369)&gt;0,"H","R"))))</f>
        <v>H</v>
      </c>
      <c r="F369" s="20" t="str">
        <f t="shared" si="29"/>
        <v>H3</v>
      </c>
    </row>
    <row r="370" spans="1:6" x14ac:dyDescent="0.2">
      <c r="A370" s="20">
        <f t="shared" si="28"/>
        <v>12</v>
      </c>
      <c r="B370" s="20">
        <f t="shared" si="30"/>
        <v>32</v>
      </c>
      <c r="C370" s="20">
        <f t="shared" si="32"/>
        <v>4</v>
      </c>
      <c r="D370" s="21">
        <f t="shared" si="31"/>
        <v>46387</v>
      </c>
      <c r="E370" s="22" t="str">
        <f>IF(AND(OR($C370=6,$C370=7),Weekend_As_Holiday="YES",COUNTIF(Holidays!$A$6:$A$58,'Cycle Calendar'!$D370)&gt;0),"H",IF(AND(OR($C370=6,$C370=7),Weekend_As_Holiday="NO",COUNTIF(Holidays!$A$6:$A$58,'Cycle Calendar'!$D370)&gt;0),"W",IF(OR($C370=6,$C370=7),"W",IF(COUNTIF(Holidays!$A$6:$A$58,'Cycle Calendar'!$D370)&gt;0,"H","R"))))</f>
        <v>H</v>
      </c>
      <c r="F370" s="20" t="str">
        <f t="shared" si="29"/>
        <v>H4</v>
      </c>
    </row>
    <row r="371" spans="1:6" x14ac:dyDescent="0.2">
      <c r="A371" s="20">
        <f t="shared" si="28"/>
        <v>1</v>
      </c>
      <c r="B371" s="20">
        <f t="shared" si="30"/>
        <v>1</v>
      </c>
      <c r="C371" s="20">
        <f t="shared" si="32"/>
        <v>5</v>
      </c>
      <c r="D371" s="21">
        <f t="shared" si="31"/>
        <v>46388</v>
      </c>
      <c r="E371" s="22" t="str">
        <f>IF(AND(OR($C371=6,$C371=7),Weekend_As_Holiday="YES",COUNTIF(Holidays!$A$6:$A$58,'Cycle Calendar'!$D371)&gt;0),"H",IF(AND(OR($C371=6,$C371=7),Weekend_As_Holiday="NO",COUNTIF(Holidays!$A$6:$A$58,'Cycle Calendar'!$D371)&gt;0),"W",IF(OR($C371=6,$C371=7),"W",IF(COUNTIF(Holidays!$A$6:$A$58,'Cycle Calendar'!$D371)&gt;0,"H","R"))))</f>
        <v>R</v>
      </c>
      <c r="F371" s="20" t="str">
        <f t="shared" si="29"/>
        <v>R5</v>
      </c>
    </row>
  </sheetData>
  <sheetProtection formatCells="0" formatColumns="0" formatRows="0" sort="0" autoFilter="0"/>
  <autoFilter ref="A2:F2" xr:uid="{00000000-0001-0000-0000-000000000000}"/>
  <mergeCells count="1">
    <mergeCell ref="H1:M6"/>
  </mergeCells>
  <phoneticPr fontId="13" type="noConversion"/>
  <conditionalFormatting sqref="E6:E371">
    <cfRule type="containsText" dxfId="1" priority="4" operator="containsText" text="W">
      <formula>NOT(ISERROR(SEARCH("W",E6)))</formula>
    </cfRule>
    <cfRule type="containsText" dxfId="0" priority="5" operator="containsText" text="H">
      <formula>NOT(ISERROR(SEARCH("H",E6)))</formula>
    </cfRule>
  </conditionalFormatting>
  <conditionalFormatting sqref="H9:L22">
    <cfRule type="expression" dxfId="5" priority="3">
      <formula>MOD(ROW(),2)</formula>
    </cfRule>
  </conditionalFormatting>
  <conditionalFormatting sqref="J9">
    <cfRule type="expression" dxfId="4" priority="1">
      <formula>AND(Calendar_Type="Calendar-Based",MONTH(Start_Date_of_Year)&amp;DAY(Start_Date_of_Year)&lt;&gt;"11")</formula>
    </cfRule>
  </conditionalFormatting>
  <conditionalFormatting sqref="L9:L22">
    <cfRule type="cellIs" dxfId="3" priority="2" operator="greater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D58"/>
  <sheetViews>
    <sheetView showGridLines="0" topLeftCell="A2" workbookViewId="0">
      <selection activeCell="C44" sqref="C44:C46"/>
    </sheetView>
  </sheetViews>
  <sheetFormatPr baseColWidth="10" defaultColWidth="8.6640625" defaultRowHeight="15" x14ac:dyDescent="0.2"/>
  <cols>
    <col min="1" max="1" width="19.1640625" style="23" customWidth="1"/>
    <col min="2" max="2" width="20" style="23" customWidth="1"/>
    <col min="3" max="3" width="45.83203125" style="23" customWidth="1"/>
    <col min="4" max="16384" width="8.6640625" style="23"/>
  </cols>
  <sheetData>
    <row r="1" spans="1:4" s="5" customFormat="1" ht="34" customHeight="1" x14ac:dyDescent="0.25">
      <c r="A1" s="1" t="s">
        <v>81</v>
      </c>
      <c r="B1" s="2"/>
      <c r="C1" s="2"/>
      <c r="D1"/>
    </row>
    <row r="2" spans="1:4" s="5" customFormat="1" ht="47.25" customHeight="1" x14ac:dyDescent="0.2">
      <c r="A2" s="6" t="s">
        <v>16</v>
      </c>
      <c r="B2" s="6" t="s">
        <v>17</v>
      </c>
      <c r="C2" s="6" t="s">
        <v>18</v>
      </c>
    </row>
    <row r="3" spans="1:4" s="11" customFormat="1" ht="18.75" customHeight="1" x14ac:dyDescent="0.2">
      <c r="A3" s="25" t="s">
        <v>9</v>
      </c>
      <c r="B3" s="8" t="s">
        <v>19</v>
      </c>
      <c r="C3" s="8" t="s">
        <v>20</v>
      </c>
    </row>
    <row r="4" spans="1:4" s="15" customFormat="1" ht="15" customHeight="1" x14ac:dyDescent="0.15">
      <c r="A4" s="13" t="s">
        <v>13</v>
      </c>
      <c r="B4" s="12" t="s">
        <v>21</v>
      </c>
      <c r="C4" s="14" t="s">
        <v>22</v>
      </c>
    </row>
    <row r="5" spans="1:4" s="19" customFormat="1" ht="35.25" customHeight="1" x14ac:dyDescent="0.15">
      <c r="A5" s="16" t="s">
        <v>41</v>
      </c>
      <c r="B5" s="16" t="s">
        <v>42</v>
      </c>
      <c r="C5" s="16" t="s">
        <v>43</v>
      </c>
    </row>
    <row r="6" spans="1:4" x14ac:dyDescent="0.2">
      <c r="A6" s="26">
        <v>46023</v>
      </c>
      <c r="B6" s="27" t="str">
        <f t="shared" ref="B6:B10" si="0">IF(A6="","",IFERROR(TEXT(A6,"dddd"),"Invalid Date"))</f>
        <v>Thursday</v>
      </c>
      <c r="C6" s="28" t="s">
        <v>49</v>
      </c>
    </row>
    <row r="7" spans="1:4" x14ac:dyDescent="0.2">
      <c r="A7" s="26">
        <v>46070</v>
      </c>
      <c r="B7" s="27" t="str">
        <f t="shared" si="0"/>
        <v>Tuesday</v>
      </c>
      <c r="C7" s="28" t="s">
        <v>82</v>
      </c>
    </row>
    <row r="8" spans="1:4" x14ac:dyDescent="0.2">
      <c r="A8" s="26">
        <v>46114</v>
      </c>
      <c r="B8" s="27" t="str">
        <f t="shared" si="0"/>
        <v>Thursday</v>
      </c>
      <c r="C8" s="28" t="s">
        <v>48</v>
      </c>
    </row>
    <row r="9" spans="1:4" x14ac:dyDescent="0.2">
      <c r="A9" s="26">
        <v>46115</v>
      </c>
      <c r="B9" s="27" t="str">
        <f t="shared" si="0"/>
        <v>Friday</v>
      </c>
      <c r="C9" s="28" t="s">
        <v>23</v>
      </c>
    </row>
    <row r="10" spans="1:4" x14ac:dyDescent="0.2">
      <c r="A10" s="26">
        <v>46116</v>
      </c>
      <c r="B10" s="27" t="str">
        <f t="shared" si="0"/>
        <v>Saturday</v>
      </c>
      <c r="C10" s="28" t="s">
        <v>72</v>
      </c>
    </row>
    <row r="11" spans="1:4" x14ac:dyDescent="0.2">
      <c r="A11" s="26">
        <v>46121</v>
      </c>
      <c r="B11" s="27" t="str">
        <f t="shared" ref="B11:B12" si="1">IF(A11="","",IFERROR(TEXT(A11,"dddd"),"Invalid Date"))</f>
        <v>Thursday</v>
      </c>
      <c r="C11" s="28" t="s">
        <v>83</v>
      </c>
    </row>
    <row r="12" spans="1:4" x14ac:dyDescent="0.2">
      <c r="A12" s="26">
        <v>46143</v>
      </c>
      <c r="B12" s="27" t="str">
        <f t="shared" si="1"/>
        <v>Friday</v>
      </c>
      <c r="C12" s="35" t="s">
        <v>24</v>
      </c>
    </row>
    <row r="13" spans="1:4" x14ac:dyDescent="0.2">
      <c r="A13" s="26">
        <v>46185</v>
      </c>
      <c r="B13" s="27" t="str">
        <f>IF(A13="","",IFERROR(TEXT(A13,"dddd"),"Invalid Date"))</f>
        <v>Friday</v>
      </c>
      <c r="C13" s="28" t="s">
        <v>25</v>
      </c>
    </row>
    <row r="14" spans="1:4" x14ac:dyDescent="0.2">
      <c r="A14" s="26">
        <v>46255</v>
      </c>
      <c r="B14" s="27" t="str">
        <f t="shared" ref="B14:B37" si="2">IF(A14="","",IFERROR(TEXT(A14,"dddd"),"Invalid Date"))</f>
        <v>Friday</v>
      </c>
      <c r="C14" s="35" t="s">
        <v>84</v>
      </c>
    </row>
    <row r="15" spans="1:4" x14ac:dyDescent="0.2">
      <c r="A15" s="26">
        <v>46265</v>
      </c>
      <c r="B15" s="27" t="str">
        <f t="shared" si="2"/>
        <v>Monday</v>
      </c>
      <c r="C15" s="35" t="s">
        <v>85</v>
      </c>
    </row>
    <row r="16" spans="1:4" x14ac:dyDescent="0.2">
      <c r="A16" s="26">
        <v>46327</v>
      </c>
      <c r="B16" s="27" t="str">
        <f t="shared" si="2"/>
        <v>Sunday</v>
      </c>
      <c r="C16" s="28" t="s">
        <v>86</v>
      </c>
    </row>
    <row r="17" spans="1:3" x14ac:dyDescent="0.2">
      <c r="A17" s="26">
        <v>46356</v>
      </c>
      <c r="B17" s="27" t="str">
        <f t="shared" si="2"/>
        <v>Monday</v>
      </c>
      <c r="C17" s="28" t="s">
        <v>26</v>
      </c>
    </row>
    <row r="18" spans="1:3" x14ac:dyDescent="0.2">
      <c r="A18" s="26">
        <v>46380</v>
      </c>
      <c r="B18" s="27" t="str">
        <f t="shared" si="2"/>
        <v>Thursday</v>
      </c>
      <c r="C18" s="35" t="s">
        <v>87</v>
      </c>
    </row>
    <row r="19" spans="1:3" x14ac:dyDescent="0.2">
      <c r="A19" s="26">
        <v>46381</v>
      </c>
      <c r="B19" s="27" t="str">
        <f t="shared" si="2"/>
        <v>Friday</v>
      </c>
      <c r="C19" s="35" t="s">
        <v>27</v>
      </c>
    </row>
    <row r="20" spans="1:3" x14ac:dyDescent="0.2">
      <c r="A20" s="26">
        <v>46386</v>
      </c>
      <c r="B20" s="27" t="str">
        <f t="shared" si="2"/>
        <v>Wednesday</v>
      </c>
      <c r="C20" s="28" t="s">
        <v>69</v>
      </c>
    </row>
    <row r="21" spans="1:3" x14ac:dyDescent="0.2">
      <c r="A21" s="26">
        <v>46024</v>
      </c>
      <c r="B21" s="27" t="str">
        <f t="shared" si="2"/>
        <v>Friday</v>
      </c>
      <c r="C21" s="35" t="s">
        <v>88</v>
      </c>
    </row>
    <row r="22" spans="1:3" x14ac:dyDescent="0.2">
      <c r="A22" s="26">
        <v>46055</v>
      </c>
      <c r="B22" s="27" t="str">
        <f t="shared" si="2"/>
        <v>Monday</v>
      </c>
      <c r="C22" s="35" t="s">
        <v>89</v>
      </c>
    </row>
    <row r="23" spans="1:3" x14ac:dyDescent="0.2">
      <c r="A23" s="26">
        <v>46056</v>
      </c>
      <c r="B23" s="27" t="str">
        <f t="shared" si="2"/>
        <v>Tuesday</v>
      </c>
      <c r="C23" s="35" t="s">
        <v>89</v>
      </c>
    </row>
    <row r="24" spans="1:3" x14ac:dyDescent="0.2">
      <c r="A24" s="26">
        <v>46057</v>
      </c>
      <c r="B24" s="27" t="str">
        <f t="shared" si="2"/>
        <v>Wednesday</v>
      </c>
      <c r="C24" s="35" t="s">
        <v>89</v>
      </c>
    </row>
    <row r="25" spans="1:3" x14ac:dyDescent="0.2">
      <c r="A25" s="26">
        <v>46058</v>
      </c>
      <c r="B25" s="27" t="str">
        <f t="shared" si="2"/>
        <v>Thursday</v>
      </c>
      <c r="C25" s="35" t="s">
        <v>89</v>
      </c>
    </row>
    <row r="26" spans="1:3" x14ac:dyDescent="0.2">
      <c r="A26" s="26">
        <v>46059</v>
      </c>
      <c r="B26" s="27" t="str">
        <f t="shared" si="2"/>
        <v>Friday</v>
      </c>
      <c r="C26" s="35" t="s">
        <v>89</v>
      </c>
    </row>
    <row r="27" spans="1:3" x14ac:dyDescent="0.2">
      <c r="A27" s="26">
        <v>46111</v>
      </c>
      <c r="B27" s="27" t="str">
        <f t="shared" si="2"/>
        <v>Monday</v>
      </c>
      <c r="C27" s="35" t="s">
        <v>90</v>
      </c>
    </row>
    <row r="28" spans="1:3" x14ac:dyDescent="0.2">
      <c r="A28" s="26">
        <v>46113</v>
      </c>
      <c r="B28" s="27" t="str">
        <f t="shared" si="2"/>
        <v>Wednesday</v>
      </c>
      <c r="C28" s="35" t="s">
        <v>90</v>
      </c>
    </row>
    <row r="29" spans="1:3" x14ac:dyDescent="0.2">
      <c r="A29" s="26">
        <v>46202</v>
      </c>
      <c r="B29" s="27" t="str">
        <f t="shared" si="2"/>
        <v>Monday</v>
      </c>
      <c r="C29" s="35" t="s">
        <v>91</v>
      </c>
    </row>
    <row r="30" spans="1:3" x14ac:dyDescent="0.2">
      <c r="A30" s="26">
        <v>46203</v>
      </c>
      <c r="B30" s="27" t="str">
        <f t="shared" si="2"/>
        <v>Tuesday</v>
      </c>
      <c r="C30" s="35" t="s">
        <v>91</v>
      </c>
    </row>
    <row r="31" spans="1:3" x14ac:dyDescent="0.2">
      <c r="A31" s="26">
        <v>46204</v>
      </c>
      <c r="B31" s="27" t="str">
        <f t="shared" si="2"/>
        <v>Wednesday</v>
      </c>
      <c r="C31" s="35" t="s">
        <v>91</v>
      </c>
    </row>
    <row r="32" spans="1:3" x14ac:dyDescent="0.2">
      <c r="A32" s="26">
        <v>46205</v>
      </c>
      <c r="B32" s="27" t="str">
        <f t="shared" si="2"/>
        <v>Thursday</v>
      </c>
      <c r="C32" s="35" t="s">
        <v>91</v>
      </c>
    </row>
    <row r="33" spans="1:3" x14ac:dyDescent="0.2">
      <c r="A33" s="26">
        <v>46206</v>
      </c>
      <c r="B33" s="27" t="str">
        <f t="shared" si="2"/>
        <v>Friday</v>
      </c>
      <c r="C33" s="35" t="s">
        <v>91</v>
      </c>
    </row>
    <row r="34" spans="1:3" x14ac:dyDescent="0.2">
      <c r="A34" s="26">
        <v>46375</v>
      </c>
      <c r="B34" s="27" t="str">
        <f t="shared" si="2"/>
        <v>Saturday</v>
      </c>
      <c r="C34" s="35" t="s">
        <v>92</v>
      </c>
    </row>
    <row r="35" spans="1:3" x14ac:dyDescent="0.2">
      <c r="A35" s="26">
        <v>46376</v>
      </c>
      <c r="B35" s="27" t="str">
        <f t="shared" si="2"/>
        <v>Sunday</v>
      </c>
      <c r="C35" s="35" t="s">
        <v>92</v>
      </c>
    </row>
    <row r="36" spans="1:3" x14ac:dyDescent="0.2">
      <c r="A36" s="26">
        <v>46377</v>
      </c>
      <c r="B36" s="27" t="str">
        <f t="shared" si="2"/>
        <v>Monday</v>
      </c>
      <c r="C36" s="28" t="s">
        <v>92</v>
      </c>
    </row>
    <row r="37" spans="1:3" x14ac:dyDescent="0.2">
      <c r="A37" s="26">
        <v>46378</v>
      </c>
      <c r="B37" s="27" t="str">
        <f t="shared" si="2"/>
        <v>Tuesday</v>
      </c>
      <c r="C37" s="28" t="s">
        <v>92</v>
      </c>
    </row>
    <row r="38" spans="1:3" x14ac:dyDescent="0.2">
      <c r="A38" s="26">
        <v>46379</v>
      </c>
      <c r="B38" s="27" t="str">
        <f t="shared" ref="B38:B58" si="3">IF(A38="","",IFERROR(TEXT(A38,"dddd"),"Invalid Date"))</f>
        <v>Wednesday</v>
      </c>
      <c r="C38" s="28" t="s">
        <v>92</v>
      </c>
    </row>
    <row r="39" spans="1:3" x14ac:dyDescent="0.2">
      <c r="A39" s="26">
        <v>46382</v>
      </c>
      <c r="B39" s="27" t="str">
        <f t="shared" si="3"/>
        <v>Saturday</v>
      </c>
      <c r="C39" s="28" t="s">
        <v>92</v>
      </c>
    </row>
    <row r="40" spans="1:3" x14ac:dyDescent="0.2">
      <c r="A40" s="26">
        <v>46383</v>
      </c>
      <c r="B40" s="27" t="str">
        <f t="shared" si="3"/>
        <v>Sunday</v>
      </c>
      <c r="C40" s="28" t="s">
        <v>92</v>
      </c>
    </row>
    <row r="41" spans="1:3" x14ac:dyDescent="0.2">
      <c r="A41" s="26">
        <v>46384</v>
      </c>
      <c r="B41" s="27" t="str">
        <f t="shared" si="3"/>
        <v>Monday</v>
      </c>
      <c r="C41" s="28" t="s">
        <v>92</v>
      </c>
    </row>
    <row r="42" spans="1:3" x14ac:dyDescent="0.2">
      <c r="A42" s="26">
        <v>46385</v>
      </c>
      <c r="B42" s="27" t="str">
        <f t="shared" si="3"/>
        <v>Tuesday</v>
      </c>
      <c r="C42" s="28" t="s">
        <v>92</v>
      </c>
    </row>
    <row r="43" spans="1:3" x14ac:dyDescent="0.2">
      <c r="A43" s="26">
        <v>46387</v>
      </c>
      <c r="B43" s="27" t="str">
        <f t="shared" si="3"/>
        <v>Thursday</v>
      </c>
      <c r="C43" s="28" t="s">
        <v>92</v>
      </c>
    </row>
    <row r="44" spans="1:3" x14ac:dyDescent="0.2">
      <c r="A44" s="26"/>
      <c r="B44" s="27" t="str">
        <f t="shared" si="3"/>
        <v/>
      </c>
      <c r="C44" s="28"/>
    </row>
    <row r="45" spans="1:3" x14ac:dyDescent="0.2">
      <c r="A45" s="26"/>
      <c r="B45" s="27" t="str">
        <f t="shared" si="3"/>
        <v/>
      </c>
      <c r="C45" s="28"/>
    </row>
    <row r="46" spans="1:3" x14ac:dyDescent="0.2">
      <c r="A46" s="26"/>
      <c r="B46" s="27" t="str">
        <f t="shared" si="3"/>
        <v/>
      </c>
      <c r="C46" s="28"/>
    </row>
    <row r="47" spans="1:3" x14ac:dyDescent="0.2">
      <c r="A47" s="26"/>
      <c r="B47" s="27" t="str">
        <f t="shared" si="3"/>
        <v/>
      </c>
      <c r="C47" s="28"/>
    </row>
    <row r="48" spans="1:3" x14ac:dyDescent="0.2">
      <c r="A48" s="26"/>
      <c r="B48" s="27" t="str">
        <f t="shared" si="3"/>
        <v/>
      </c>
      <c r="C48" s="28"/>
    </row>
    <row r="49" spans="1:3" x14ac:dyDescent="0.2">
      <c r="A49" s="26"/>
      <c r="B49" s="27" t="str">
        <f t="shared" si="3"/>
        <v/>
      </c>
      <c r="C49" s="28"/>
    </row>
    <row r="50" spans="1:3" x14ac:dyDescent="0.2">
      <c r="A50" s="26"/>
      <c r="B50" s="27" t="str">
        <f t="shared" si="3"/>
        <v/>
      </c>
      <c r="C50" s="28"/>
    </row>
    <row r="51" spans="1:3" x14ac:dyDescent="0.2">
      <c r="A51" s="26"/>
      <c r="B51" s="27" t="str">
        <f t="shared" si="3"/>
        <v/>
      </c>
      <c r="C51" s="28"/>
    </row>
    <row r="52" spans="1:3" x14ac:dyDescent="0.2">
      <c r="A52" s="26"/>
      <c r="B52" s="27" t="str">
        <f t="shared" si="3"/>
        <v/>
      </c>
      <c r="C52" s="28"/>
    </row>
    <row r="53" spans="1:3" x14ac:dyDescent="0.2">
      <c r="A53" s="26"/>
      <c r="B53" s="27" t="str">
        <f t="shared" si="3"/>
        <v/>
      </c>
      <c r="C53" s="28"/>
    </row>
    <row r="54" spans="1:3" x14ac:dyDescent="0.2">
      <c r="A54" s="26"/>
      <c r="B54" s="27" t="str">
        <f t="shared" si="3"/>
        <v/>
      </c>
      <c r="C54" s="28"/>
    </row>
    <row r="55" spans="1:3" x14ac:dyDescent="0.2">
      <c r="A55" s="26"/>
      <c r="B55" s="27" t="str">
        <f t="shared" si="3"/>
        <v/>
      </c>
      <c r="C55" s="28"/>
    </row>
    <row r="56" spans="1:3" x14ac:dyDescent="0.2">
      <c r="A56" s="26"/>
      <c r="B56" s="27" t="str">
        <f t="shared" si="3"/>
        <v/>
      </c>
      <c r="C56" s="28"/>
    </row>
    <row r="57" spans="1:3" x14ac:dyDescent="0.2">
      <c r="A57" s="26"/>
      <c r="B57" s="27" t="str">
        <f t="shared" si="3"/>
        <v/>
      </c>
      <c r="C57" s="28"/>
    </row>
    <row r="58" spans="1:3" x14ac:dyDescent="0.2">
      <c r="A58" s="26"/>
      <c r="B58" s="27" t="str">
        <f t="shared" si="3"/>
        <v/>
      </c>
      <c r="C58" s="28"/>
    </row>
  </sheetData>
  <sheetProtection algorithmName="SHA-512" hashValue="+4bviTfqs7A2tjRQSA1DakPpfky9HB3tGrYwt1dQR3Ayw7eiHK2ZB+0odSkkgNh/q3KPPAEbAvFWyzrz4exHyw==" saltValue="qEP7hJ02iVaO7isVOV/rUQ==" spinCount="100000" sheet="1" objects="1" scenarios="1" formatColumns="0" formatRows="0" insertRows="0" sort="0" autoFilter="0"/>
  <pageMargins left="0.7" right="0.7" top="0.75" bottom="0.75" header="0.3" footer="0.3"/>
  <pageSetup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C000"/>
  </sheetPr>
  <dimension ref="A1:D11"/>
  <sheetViews>
    <sheetView showGridLines="0" workbookViewId="0">
      <selection activeCell="B7" sqref="B7"/>
    </sheetView>
  </sheetViews>
  <sheetFormatPr baseColWidth="10" defaultColWidth="9" defaultRowHeight="15" x14ac:dyDescent="0.2"/>
  <cols>
    <col min="1" max="1" width="25.5" style="29" customWidth="1"/>
    <col min="2" max="2" width="33" style="29" customWidth="1"/>
    <col min="3" max="3" width="36.6640625" style="29" customWidth="1"/>
    <col min="4" max="4" width="72.5" style="29" customWidth="1"/>
    <col min="5" max="16384" width="9" style="29"/>
  </cols>
  <sheetData>
    <row r="1" spans="1:4" ht="10.5" customHeight="1" x14ac:dyDescent="0.2">
      <c r="A1" s="37"/>
    </row>
    <row r="2" spans="1:4" ht="16" x14ac:dyDescent="0.2">
      <c r="A2" s="30" t="s">
        <v>28</v>
      </c>
      <c r="B2" s="30" t="s">
        <v>29</v>
      </c>
      <c r="C2" s="30" t="s">
        <v>30</v>
      </c>
      <c r="D2" s="30" t="s">
        <v>31</v>
      </c>
    </row>
    <row r="3" spans="1:4" ht="64" x14ac:dyDescent="0.2">
      <c r="A3" s="31" t="s">
        <v>32</v>
      </c>
      <c r="B3" s="41" t="s">
        <v>80</v>
      </c>
      <c r="C3" s="32" t="s">
        <v>33</v>
      </c>
      <c r="D3" s="33" t="s">
        <v>34</v>
      </c>
    </row>
    <row r="4" spans="1:4" ht="32" x14ac:dyDescent="0.2">
      <c r="A4" s="31" t="s">
        <v>35</v>
      </c>
      <c r="B4" s="42">
        <v>20</v>
      </c>
      <c r="C4" s="32" t="s">
        <v>36</v>
      </c>
      <c r="D4" s="36" t="s">
        <v>45</v>
      </c>
    </row>
    <row r="5" spans="1:4" ht="32" x14ac:dyDescent="0.2">
      <c r="A5" s="34" t="s">
        <v>40</v>
      </c>
      <c r="B5" s="43">
        <v>46023</v>
      </c>
      <c r="C5" s="32" t="s">
        <v>37</v>
      </c>
      <c r="D5" s="32" t="s">
        <v>46</v>
      </c>
    </row>
    <row r="6" spans="1:4" ht="32" x14ac:dyDescent="0.2">
      <c r="A6" s="34" t="s">
        <v>62</v>
      </c>
      <c r="B6" s="43">
        <v>46387</v>
      </c>
      <c r="C6" s="32" t="s">
        <v>70</v>
      </c>
      <c r="D6" s="32" t="s">
        <v>71</v>
      </c>
    </row>
    <row r="7" spans="1:4" ht="32" x14ac:dyDescent="0.2">
      <c r="A7" s="31" t="s">
        <v>38</v>
      </c>
      <c r="B7" s="41">
        <v>2026</v>
      </c>
      <c r="C7" s="32" t="s">
        <v>39</v>
      </c>
      <c r="D7" s="32" t="s">
        <v>47</v>
      </c>
    </row>
    <row r="8" spans="1:4" ht="64" x14ac:dyDescent="0.2">
      <c r="A8" s="31" t="s">
        <v>76</v>
      </c>
      <c r="B8" s="41" t="s">
        <v>79</v>
      </c>
      <c r="C8" s="32" t="s">
        <v>73</v>
      </c>
      <c r="D8" s="32" t="s">
        <v>74</v>
      </c>
    </row>
    <row r="9" spans="1:4" ht="47.5" customHeight="1" x14ac:dyDescent="0.2">
      <c r="A9" s="46" t="s">
        <v>75</v>
      </c>
      <c r="B9" s="45">
        <f>Days_per_Cycle/5*2</f>
        <v>8</v>
      </c>
      <c r="C9" s="33" t="s">
        <v>77</v>
      </c>
      <c r="D9" s="33" t="s">
        <v>78</v>
      </c>
    </row>
    <row r="10" spans="1:4" x14ac:dyDescent="0.2">
      <c r="B10" s="44"/>
    </row>
    <row r="11" spans="1:4" x14ac:dyDescent="0.2">
      <c r="B11" s="44"/>
    </row>
  </sheetData>
  <sheetProtection algorithmName="SHA-512" hashValue="vwHiLQGPdZJ0KKzKQoBIoQbsH3UKVaPR6rQ37jaz4iGCNyZ25Vvt+xWF3JylXf18qVSutbCpZqZ6+g/wVkam0A==" saltValue="QD/IOX5WincltyGv6HdYEQ==" spinCount="100000" sheet="1" objects="1" scenarios="1" formatCells="0" formatColumns="0" formatRows="0" autoFilter="0"/>
  <conditionalFormatting sqref="B5">
    <cfRule type="expression" dxfId="2" priority="1">
      <formula>AND($B$3="Calendar-Based",MONTH($B$5)&amp;DAY($B$5)&lt;&gt;"11")</formula>
    </cfRule>
  </conditionalFormatting>
  <dataValidations count="2">
    <dataValidation type="list" allowBlank="1" showInputMessage="1" showErrorMessage="1" sqref="B3" xr:uid="{00000000-0002-0000-0200-000000000000}">
      <formula1>"Calendar-Based,Cycle-Based"</formula1>
    </dataValidation>
    <dataValidation type="list" allowBlank="1" showInputMessage="1" showErrorMessage="1" sqref="B8" xr:uid="{C6EC9EB4-B297-45D4-B574-5828A55A19A7}">
      <formula1>"YES,NO"</formula1>
    </dataValidation>
  </dataValidations>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7</vt:i4>
      </vt:variant>
    </vt:vector>
  </HeadingPairs>
  <TitlesOfParts>
    <vt:vector size="10" baseType="lpstr">
      <vt:lpstr>Cycle Calendar</vt:lpstr>
      <vt:lpstr>Holidays</vt:lpstr>
      <vt:lpstr>Settings</vt:lpstr>
      <vt:lpstr>Calendar_Type</vt:lpstr>
      <vt:lpstr>Cycle_Header</vt:lpstr>
      <vt:lpstr>Days_per_Cycle</vt:lpstr>
      <vt:lpstr>End_Date_of_Year</vt:lpstr>
      <vt:lpstr>Number_Of_Weekends</vt:lpstr>
      <vt:lpstr>Start_Date_of_Year</vt:lpstr>
      <vt:lpstr>Weekend_As_Holiday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 Biticon</dc:creator>
  <cp:lastModifiedBy>April Villegas</cp:lastModifiedBy>
  <dcterms:created xsi:type="dcterms:W3CDTF">2018-11-07T06:43:39Z</dcterms:created>
  <dcterms:modified xsi:type="dcterms:W3CDTF">2026-01-12T09:43:41Z</dcterms:modified>
</cp:coreProperties>
</file>